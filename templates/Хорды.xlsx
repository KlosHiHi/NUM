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20" windowWidth="13395" windowHeight="12330" activeTab="1"/>
  </bookViews>
  <sheets>
    <sheet name="Лист1" sheetId="1" r:id="rId1"/>
    <sheet name="Лист1 (2)" sheetId="4" r:id="rId2"/>
  </sheets>
  <calcPr calcId="125725"/>
</workbook>
</file>

<file path=xl/calcChain.xml><?xml version="1.0" encoding="utf-8"?>
<calcChain xmlns="http://schemas.openxmlformats.org/spreadsheetml/2006/main">
  <c r="B21" i="4"/>
  <c r="B22"/>
  <c r="B23"/>
  <c r="B24"/>
  <c r="B25"/>
  <c r="B26"/>
  <c r="B20"/>
  <c r="B14"/>
  <c r="D14"/>
  <c r="D13"/>
  <c r="B13" s="1"/>
  <c r="A15"/>
  <c r="C15" s="1"/>
  <c r="C13"/>
  <c r="D9"/>
  <c r="C9"/>
  <c r="E9" s="1"/>
  <c r="D8"/>
  <c r="C8"/>
  <c r="E8" s="1"/>
  <c r="C16" i="1"/>
  <c r="A19"/>
  <c r="G15"/>
  <c r="G16"/>
  <c r="G17"/>
  <c r="G18"/>
  <c r="G19"/>
  <c r="G14"/>
  <c r="C19"/>
  <c r="D19" s="1"/>
  <c r="F19"/>
  <c r="A18"/>
  <c r="C18" s="1"/>
  <c r="D18" s="1"/>
  <c r="F18"/>
  <c r="A16"/>
  <c r="F16"/>
  <c r="F17"/>
  <c r="F15"/>
  <c r="E15"/>
  <c r="F14"/>
  <c r="C14"/>
  <c r="E14"/>
  <c r="D15"/>
  <c r="C15"/>
  <c r="A14"/>
  <c r="A15" s="1"/>
  <c r="D9"/>
  <c r="D8"/>
  <c r="C9"/>
  <c r="E9" s="1"/>
  <c r="C8"/>
  <c r="D15" i="4" l="1"/>
  <c r="B15" s="1"/>
  <c r="E13"/>
  <c r="F13" s="1"/>
  <c r="A14"/>
  <c r="E14"/>
  <c r="F14" s="1"/>
  <c r="C14"/>
  <c r="E19" i="1"/>
  <c r="E18"/>
  <c r="A17"/>
  <c r="D16"/>
  <c r="E16"/>
  <c r="D14"/>
  <c r="E8"/>
  <c r="E15" i="4" l="1"/>
  <c r="F15" s="1"/>
  <c r="A16"/>
  <c r="C17" i="1"/>
  <c r="D17" s="1"/>
  <c r="E17"/>
  <c r="C16" i="4" l="1"/>
  <c r="B16" s="1"/>
  <c r="D16"/>
  <c r="E16" l="1"/>
  <c r="F16" s="1"/>
</calcChain>
</file>

<file path=xl/sharedStrings.xml><?xml version="1.0" encoding="utf-8"?>
<sst xmlns="http://schemas.openxmlformats.org/spreadsheetml/2006/main" count="47" uniqueCount="31">
  <si>
    <t>f(x)=x^3+x-1</t>
  </si>
  <si>
    <t>f1(x)=3x^2+1</t>
  </si>
  <si>
    <t>f2(x)=6x</t>
  </si>
  <si>
    <t>точность</t>
  </si>
  <si>
    <t>е=</t>
  </si>
  <si>
    <t>Проверка на сходимость</t>
  </si>
  <si>
    <t>Граница</t>
  </si>
  <si>
    <t>Значение</t>
  </si>
  <si>
    <t>f(x)</t>
  </si>
  <si>
    <t>f2(x)</t>
  </si>
  <si>
    <t>Условие</t>
  </si>
  <si>
    <t>а</t>
  </si>
  <si>
    <t>b</t>
  </si>
  <si>
    <t>x0=c=a=0,1</t>
  </si>
  <si>
    <t>d=b=1</t>
  </si>
  <si>
    <t>Итерации</t>
  </si>
  <si>
    <t>z</t>
  </si>
  <si>
    <t>d</t>
  </si>
  <si>
    <t>c</t>
  </si>
  <si>
    <t>R</t>
  </si>
  <si>
    <t>f(d)</t>
  </si>
  <si>
    <t>k</t>
  </si>
  <si>
    <t>условие</t>
  </si>
  <si>
    <t>f(c )</t>
  </si>
  <si>
    <t>Корень</t>
  </si>
  <si>
    <t>Число итераций</t>
  </si>
  <si>
    <r>
      <t>x</t>
    </r>
    <r>
      <rPr>
        <sz val="8"/>
        <color theme="1"/>
        <rFont val="Calibri"/>
        <family val="2"/>
        <charset val="204"/>
        <scheme val="minor"/>
      </rPr>
      <t>n</t>
    </r>
  </si>
  <si>
    <r>
      <t>x</t>
    </r>
    <r>
      <rPr>
        <sz val="8"/>
        <color theme="1"/>
        <rFont val="Calibri"/>
        <family val="2"/>
        <charset val="204"/>
        <scheme val="minor"/>
      </rPr>
      <t>n+1</t>
    </r>
  </si>
  <si>
    <r>
      <t>f(x</t>
    </r>
    <r>
      <rPr>
        <sz val="8"/>
        <color theme="1"/>
        <rFont val="Calibri"/>
        <family val="2"/>
        <charset val="204"/>
        <scheme val="minor"/>
      </rPr>
      <t>n</t>
    </r>
    <r>
      <rPr>
        <sz val="11"/>
        <color theme="1"/>
        <rFont val="Calibri"/>
        <family val="2"/>
        <charset val="204"/>
        <scheme val="minor"/>
      </rPr>
      <t>)</t>
    </r>
  </si>
  <si>
    <r>
      <t>f'(x</t>
    </r>
    <r>
      <rPr>
        <sz val="8"/>
        <color theme="1"/>
        <rFont val="Calibri"/>
        <family val="2"/>
        <charset val="204"/>
        <scheme val="minor"/>
      </rPr>
      <t>n</t>
    </r>
    <r>
      <rPr>
        <sz val="11"/>
        <color theme="1"/>
        <rFont val="Calibri"/>
        <family val="2"/>
        <charset val="204"/>
        <scheme val="minor"/>
      </rPr>
      <t>)</t>
    </r>
  </si>
  <si>
    <t>x</t>
  </si>
</sst>
</file>

<file path=xl/styles.xml><?xml version="1.0" encoding="utf-8"?>
<styleSheet xmlns="http://schemas.openxmlformats.org/spreadsheetml/2006/main">
  <numFmts count="3">
    <numFmt numFmtId="164" formatCode="0.0000"/>
    <numFmt numFmtId="170" formatCode="0.000"/>
    <numFmt numFmtId="171" formatCode="0.0"/>
  </numFmts>
  <fonts count="3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2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2" borderId="2" xfId="0" applyFill="1" applyBorder="1" applyAlignment="1">
      <alignment horizontal="center"/>
    </xf>
    <xf numFmtId="170" fontId="0" fillId="0" borderId="0" xfId="0" applyNumberFormat="1"/>
    <xf numFmtId="171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11</xdr:col>
      <xdr:colOff>76200</xdr:colOff>
      <xdr:row>22</xdr:row>
      <xdr:rowOff>104775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810000"/>
          <a:ext cx="6800850" cy="485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19"/>
  <sheetViews>
    <sheetView workbookViewId="0">
      <selection activeCell="G9" sqref="G9"/>
    </sheetView>
  </sheetViews>
  <sheetFormatPr defaultRowHeight="15"/>
  <cols>
    <col min="1" max="1" width="12.140625" bestFit="1" customWidth="1"/>
    <col min="2" max="2" width="9.7109375" bestFit="1" customWidth="1"/>
    <col min="3" max="3" width="10.42578125" bestFit="1" customWidth="1"/>
    <col min="4" max="4" width="9" bestFit="1" customWidth="1"/>
    <col min="5" max="5" width="8.5703125" bestFit="1" customWidth="1"/>
    <col min="6" max="6" width="6.5703125" bestFit="1" customWidth="1"/>
    <col min="7" max="7" width="12.85546875" bestFit="1" customWidth="1"/>
    <col min="8" max="8" width="4.140625" customWidth="1"/>
  </cols>
  <sheetData>
    <row r="2" spans="1:8">
      <c r="A2" t="s">
        <v>0</v>
      </c>
      <c r="D2" s="5" t="s">
        <v>3</v>
      </c>
      <c r="E2" s="2" t="s">
        <v>4</v>
      </c>
      <c r="F2" s="3">
        <v>1E-3</v>
      </c>
    </row>
    <row r="3" spans="1:8">
      <c r="A3" t="s">
        <v>1</v>
      </c>
    </row>
    <row r="4" spans="1:8">
      <c r="A4" t="s">
        <v>2</v>
      </c>
    </row>
    <row r="6" spans="1:8">
      <c r="A6" s="20" t="s">
        <v>5</v>
      </c>
      <c r="B6" s="20"/>
      <c r="C6" s="20"/>
    </row>
    <row r="7" spans="1:8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</row>
    <row r="8" spans="1:8">
      <c r="A8" s="4" t="s">
        <v>11</v>
      </c>
      <c r="B8" s="4">
        <v>0.01</v>
      </c>
      <c r="C8" s="4">
        <f>B8^3+B8-1</f>
        <v>-0.98999899999999996</v>
      </c>
      <c r="D8" s="4">
        <f>6*B8</f>
        <v>0.06</v>
      </c>
      <c r="E8" s="4" t="str">
        <f>IF(C8*D8&gt;0,"вып","нет")</f>
        <v>нет</v>
      </c>
    </row>
    <row r="9" spans="1:8">
      <c r="A9" s="4" t="s">
        <v>12</v>
      </c>
      <c r="B9" s="4">
        <v>1</v>
      </c>
      <c r="C9" s="4">
        <f>B9^3+B9-1</f>
        <v>1</v>
      </c>
      <c r="D9" s="4">
        <f>6*B9</f>
        <v>6</v>
      </c>
      <c r="E9" s="4" t="str">
        <f>IF(C9*D9&gt;0,"вып","нет")</f>
        <v>вып</v>
      </c>
    </row>
    <row r="10" spans="1:8">
      <c r="C10" t="s">
        <v>13</v>
      </c>
      <c r="E10" t="s">
        <v>14</v>
      </c>
    </row>
    <row r="12" spans="1:8">
      <c r="A12" s="6" t="s">
        <v>15</v>
      </c>
      <c r="B12" s="1"/>
      <c r="C12" s="1"/>
      <c r="D12" s="1"/>
      <c r="E12" s="1"/>
      <c r="F12" s="1"/>
      <c r="G12" s="1"/>
      <c r="H12" s="1"/>
    </row>
    <row r="13" spans="1:8">
      <c r="A13" s="7" t="s">
        <v>18</v>
      </c>
      <c r="B13" s="8" t="s">
        <v>17</v>
      </c>
      <c r="C13" s="8" t="s">
        <v>16</v>
      </c>
      <c r="D13" s="8" t="s">
        <v>19</v>
      </c>
      <c r="E13" s="8" t="s">
        <v>23</v>
      </c>
      <c r="F13" s="8" t="s">
        <v>20</v>
      </c>
      <c r="G13" s="8" t="s">
        <v>22</v>
      </c>
      <c r="H13" s="8" t="s">
        <v>21</v>
      </c>
    </row>
    <row r="14" spans="1:8">
      <c r="A14" s="9">
        <f>B8</f>
        <v>0.01</v>
      </c>
      <c r="B14" s="9">
        <v>1</v>
      </c>
      <c r="C14" s="9">
        <f>A14-((A14^3+A14-1)*(B14-A14))/((B14^3+B14-1)-(A14^3+A14-1))</f>
        <v>0.50251231282025766</v>
      </c>
      <c r="D14" s="9">
        <f>ABS(C14-A14 )</f>
        <v>0.49251231282025765</v>
      </c>
      <c r="E14" s="9">
        <f>(A14^3+A14-1)</f>
        <v>-0.98999899999999996</v>
      </c>
      <c r="F14" s="9">
        <f>(B14^3+B14-1)</f>
        <v>1</v>
      </c>
      <c r="G14" s="9" t="str">
        <f>IF(D14&lt;$F$2,"выполняется","нет")</f>
        <v>нет</v>
      </c>
      <c r="H14" s="10">
        <v>0</v>
      </c>
    </row>
    <row r="15" spans="1:8">
      <c r="A15" s="9">
        <f>C14</f>
        <v>0.50251231282025766</v>
      </c>
      <c r="B15" s="9">
        <v>1</v>
      </c>
      <c r="C15" s="9">
        <f>A15-((A15^3+A15-1)*(B15-A15))/((B15^3+B15-1)-(A15^3+A15-1))</f>
        <v>0.6370276694752407</v>
      </c>
      <c r="D15" s="9">
        <f>ABS(C15-A15 )</f>
        <v>0.13451535665498304</v>
      </c>
      <c r="E15" s="9">
        <f>(A15^3+A15-1)</f>
        <v>-0.37059396913398457</v>
      </c>
      <c r="F15" s="9">
        <f>(B15^3+B15-1)</f>
        <v>1</v>
      </c>
      <c r="G15" s="9" t="str">
        <f t="shared" ref="G15:G19" si="0">IF(D15&lt;$F$2,"выполняется","нет")</f>
        <v>нет</v>
      </c>
      <c r="H15" s="10">
        <v>1</v>
      </c>
    </row>
    <row r="16" spans="1:8">
      <c r="A16" s="9">
        <f t="shared" ref="A16:A17" si="1">C15</f>
        <v>0.6370276694752407</v>
      </c>
      <c r="B16" s="9">
        <v>1</v>
      </c>
      <c r="C16" s="9">
        <f>A16-((A16^3+A16-1)*(B16-A16))/((B16^3+B16-1)-(A16^3+A16-1))</f>
        <v>0.6713587782984386</v>
      </c>
      <c r="D16" s="9">
        <f t="shared" ref="D16:D17" si="2">ABS(C16-A16 )</f>
        <v>3.4331108823197898E-2</v>
      </c>
      <c r="E16" s="9">
        <f t="shared" ref="E16:E17" si="3">(A16^3+A16-1)</f>
        <v>-0.10446379381577997</v>
      </c>
      <c r="F16" s="9">
        <f t="shared" ref="F16:F17" si="4">(B16^3+B16-1)</f>
        <v>1</v>
      </c>
      <c r="G16" s="9" t="str">
        <f t="shared" si="0"/>
        <v>нет</v>
      </c>
      <c r="H16" s="10">
        <v>2</v>
      </c>
    </row>
    <row r="17" spans="1:8">
      <c r="A17" s="9">
        <f t="shared" si="1"/>
        <v>0.6713587782984386</v>
      </c>
      <c r="B17" s="9">
        <v>1</v>
      </c>
      <c r="C17" s="9">
        <f t="shared" ref="C17" si="5">A17-((A17^3+A17-1)*(B17-A17))/((B17^3+B17-1)-(A17^3+A17-1))</f>
        <v>0.67970085469111696</v>
      </c>
      <c r="D17" s="9">
        <f t="shared" si="2"/>
        <v>8.3420763926783659E-3</v>
      </c>
      <c r="E17" s="9">
        <f t="shared" si="3"/>
        <v>-2.6044641438657701E-2</v>
      </c>
      <c r="F17" s="9">
        <f t="shared" si="4"/>
        <v>1</v>
      </c>
      <c r="G17" s="9" t="str">
        <f t="shared" si="0"/>
        <v>нет</v>
      </c>
      <c r="H17" s="10">
        <v>3</v>
      </c>
    </row>
    <row r="18" spans="1:8">
      <c r="A18" s="9">
        <f t="shared" ref="A18" si="6">C17</f>
        <v>0.67970085469111696</v>
      </c>
      <c r="B18" s="9">
        <v>1</v>
      </c>
      <c r="C18" s="9">
        <f t="shared" ref="C18" si="7">A18-((A18^3+A18-1)*(B18-A18))/((B18^3+B18-1)-(A18^3+A18-1))</f>
        <v>0.68170039281918371</v>
      </c>
      <c r="D18" s="9">
        <f t="shared" ref="D18" si="8">ABS(C18-A18 )</f>
        <v>1.9995381280667468E-3</v>
      </c>
      <c r="E18" s="9">
        <f t="shared" ref="E18" si="9">(A18^3+A18-1)</f>
        <v>-6.2819371527871315E-3</v>
      </c>
      <c r="F18" s="9">
        <f t="shared" ref="F18" si="10">(B18^3+B18-1)</f>
        <v>1</v>
      </c>
      <c r="G18" s="9" t="str">
        <f t="shared" si="0"/>
        <v>нет</v>
      </c>
      <c r="H18" s="10">
        <v>4</v>
      </c>
    </row>
    <row r="19" spans="1:8">
      <c r="A19" s="9">
        <f>C18</f>
        <v>0.68170039281918371</v>
      </c>
      <c r="B19" s="9">
        <v>1</v>
      </c>
      <c r="C19" s="11">
        <f t="shared" ref="C19" si="11">A19-((A19^3+A19-1)*(B19-A19))/((B19^3+B19-1)-(A19^3+A19-1))</f>
        <v>0.68217805346783211</v>
      </c>
      <c r="D19" s="9">
        <f t="shared" ref="D19" si="12">ABS(C19-A19 )</f>
        <v>4.7766064864840363E-4</v>
      </c>
      <c r="E19" s="9">
        <f t="shared" ref="E19" si="13">(A19^3+A19-1)</f>
        <v>-1.5029190207294096E-3</v>
      </c>
      <c r="F19" s="9">
        <f t="shared" ref="F19" si="14">(B19^3+B19-1)</f>
        <v>1</v>
      </c>
      <c r="G19" s="9" t="str">
        <f t="shared" si="0"/>
        <v>выполняется</v>
      </c>
      <c r="H19" s="10">
        <v>5</v>
      </c>
    </row>
  </sheetData>
  <mergeCells count="1">
    <mergeCell ref="A6:C6"/>
  </mergeCells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H26"/>
  <sheetViews>
    <sheetView tabSelected="1" workbookViewId="0">
      <selection activeCell="C23" sqref="C23"/>
    </sheetView>
  </sheetViews>
  <sheetFormatPr defaultRowHeight="15"/>
  <cols>
    <col min="1" max="1" width="12.140625" bestFit="1" customWidth="1"/>
    <col min="2" max="2" width="12.7109375" customWidth="1"/>
    <col min="3" max="3" width="6.5703125" bestFit="1" customWidth="1"/>
    <col min="4" max="4" width="9" bestFit="1" customWidth="1"/>
    <col min="5" max="5" width="8.5703125" bestFit="1" customWidth="1"/>
    <col min="6" max="6" width="14.42578125" bestFit="1" customWidth="1"/>
    <col min="7" max="7" width="15.7109375" bestFit="1" customWidth="1"/>
    <col min="8" max="8" width="4.140625" customWidth="1"/>
  </cols>
  <sheetData>
    <row r="2" spans="1:8">
      <c r="A2" t="s">
        <v>0</v>
      </c>
      <c r="D2" s="5" t="s">
        <v>3</v>
      </c>
      <c r="E2" s="2" t="s">
        <v>4</v>
      </c>
      <c r="F2" s="3">
        <v>1E-3</v>
      </c>
    </row>
    <row r="3" spans="1:8">
      <c r="A3" t="s">
        <v>1</v>
      </c>
    </row>
    <row r="4" spans="1:8">
      <c r="A4" t="s">
        <v>2</v>
      </c>
    </row>
    <row r="6" spans="1:8">
      <c r="A6" s="20" t="s">
        <v>5</v>
      </c>
      <c r="B6" s="20"/>
      <c r="C6" s="20"/>
    </row>
    <row r="7" spans="1:8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</row>
    <row r="8" spans="1:8">
      <c r="A8" s="4" t="s">
        <v>11</v>
      </c>
      <c r="B8" s="4">
        <v>0</v>
      </c>
      <c r="C8" s="4">
        <f>B8^3+B8-1</f>
        <v>-1</v>
      </c>
      <c r="D8" s="4">
        <f>6*B8</f>
        <v>0</v>
      </c>
      <c r="E8" s="4" t="str">
        <f>IF(C8*D8&gt;0,"вып","нет")</f>
        <v>нет</v>
      </c>
    </row>
    <row r="9" spans="1:8">
      <c r="A9" s="4" t="s">
        <v>12</v>
      </c>
      <c r="B9" s="4">
        <v>1</v>
      </c>
      <c r="C9" s="4">
        <f>B9^3+B9-1</f>
        <v>1</v>
      </c>
      <c r="D9" s="4">
        <f>6*B9</f>
        <v>6</v>
      </c>
      <c r="E9" s="4" t="str">
        <f>IF(C9*D9&gt;0,"вып","нет")</f>
        <v>вып</v>
      </c>
    </row>
    <row r="11" spans="1:8">
      <c r="A11" s="6" t="s">
        <v>15</v>
      </c>
      <c r="B11" s="1"/>
      <c r="C11" s="1"/>
      <c r="D11" s="1"/>
      <c r="E11" s="1"/>
      <c r="F11" s="1"/>
      <c r="G11" s="1"/>
      <c r="H11" s="1"/>
    </row>
    <row r="12" spans="1:8">
      <c r="A12" s="7" t="s">
        <v>26</v>
      </c>
      <c r="B12" s="8" t="s">
        <v>27</v>
      </c>
      <c r="C12" s="8" t="s">
        <v>28</v>
      </c>
      <c r="D12" s="8" t="s">
        <v>29</v>
      </c>
      <c r="E12" s="8" t="s">
        <v>19</v>
      </c>
      <c r="F12" s="8" t="s">
        <v>24</v>
      </c>
      <c r="G12" s="8" t="s">
        <v>25</v>
      </c>
      <c r="H12" s="12"/>
    </row>
    <row r="13" spans="1:8">
      <c r="A13" s="9">
        <v>1</v>
      </c>
      <c r="B13" s="9">
        <f>A13-(C13/D13)</f>
        <v>0.75</v>
      </c>
      <c r="C13" s="9">
        <f>A13^3+A13-1</f>
        <v>1</v>
      </c>
      <c r="D13" s="9">
        <f>A13^2*3+1</f>
        <v>4</v>
      </c>
      <c r="E13" s="9">
        <f>ABS(B13-A13)</f>
        <v>0.25</v>
      </c>
      <c r="F13" s="9" t="str">
        <f>IF(E13&lt;$F$2,"Корень="&amp;ROUND(B13,4),"---")</f>
        <v>---</v>
      </c>
      <c r="G13" s="10">
        <v>1</v>
      </c>
      <c r="H13" s="13"/>
    </row>
    <row r="14" spans="1:8">
      <c r="A14" s="9">
        <f>B13</f>
        <v>0.75</v>
      </c>
      <c r="B14" s="9">
        <f t="shared" ref="B14:B16" si="0">A14-(C14/D14)</f>
        <v>0.68604651162790697</v>
      </c>
      <c r="C14" s="9">
        <f t="shared" ref="C14:C16" si="1">A14^3+A14-1</f>
        <v>0.171875</v>
      </c>
      <c r="D14" s="9">
        <f t="shared" ref="D14:D16" si="2">A14^2*3+1</f>
        <v>2.6875</v>
      </c>
      <c r="E14" s="9">
        <f t="shared" ref="E14:E16" si="3">ABS(B14-A14)</f>
        <v>6.3953488372093026E-2</v>
      </c>
      <c r="F14" s="9" t="str">
        <f t="shared" ref="F14:F16" si="4">IF(E14&lt;$F$2,"Корень="&amp;ROUND(B14,4),"---")</f>
        <v>---</v>
      </c>
      <c r="G14" s="10">
        <v>2</v>
      </c>
      <c r="H14" s="13"/>
    </row>
    <row r="15" spans="1:8">
      <c r="A15" s="9">
        <f t="shared" ref="A15:A16" si="5">B14</f>
        <v>0.68604651162790697</v>
      </c>
      <c r="B15" s="9">
        <f t="shared" si="0"/>
        <v>0.6823395825973142</v>
      </c>
      <c r="C15" s="9">
        <f t="shared" si="1"/>
        <v>8.9410366382833839E-3</v>
      </c>
      <c r="D15" s="9">
        <f t="shared" si="2"/>
        <v>2.4119794483504595</v>
      </c>
      <c r="E15" s="9">
        <f t="shared" si="3"/>
        <v>3.706929030592776E-3</v>
      </c>
      <c r="F15" s="9" t="str">
        <f t="shared" si="4"/>
        <v>---</v>
      </c>
      <c r="G15" s="10">
        <v>3</v>
      </c>
      <c r="H15" s="13"/>
    </row>
    <row r="16" spans="1:8">
      <c r="A16" s="14">
        <f t="shared" si="5"/>
        <v>0.6823395825973142</v>
      </c>
      <c r="B16" s="14">
        <f t="shared" si="0"/>
        <v>0.68232780394651271</v>
      </c>
      <c r="C16" s="14">
        <f t="shared" si="1"/>
        <v>2.8230621685665369E-5</v>
      </c>
      <c r="D16" s="14">
        <f t="shared" si="2"/>
        <v>2.3967619179372308</v>
      </c>
      <c r="E16" s="14">
        <f t="shared" si="3"/>
        <v>1.1778650801486101E-5</v>
      </c>
      <c r="F16" s="16" t="str">
        <f t="shared" si="4"/>
        <v>Корень=0,6823</v>
      </c>
      <c r="G16" s="17">
        <v>4</v>
      </c>
      <c r="H16" s="13"/>
    </row>
    <row r="17" spans="1:8">
      <c r="A17" s="18"/>
      <c r="B17" s="18"/>
      <c r="C17" s="18"/>
      <c r="D17" s="18"/>
      <c r="E17" s="18"/>
      <c r="F17" s="18"/>
      <c r="G17" s="19"/>
      <c r="H17" s="13"/>
    </row>
    <row r="18" spans="1:8">
      <c r="A18" s="15"/>
      <c r="B18" s="15"/>
      <c r="C18" s="15"/>
      <c r="D18" s="15"/>
      <c r="E18" s="15"/>
      <c r="F18" s="15"/>
      <c r="G18" s="15"/>
      <c r="H18" s="13"/>
    </row>
    <row r="19" spans="1:8">
      <c r="A19" t="s">
        <v>30</v>
      </c>
      <c r="B19" t="s">
        <v>8</v>
      </c>
    </row>
    <row r="20" spans="1:8">
      <c r="A20" s="22">
        <v>1</v>
      </c>
      <c r="B20" s="21">
        <f>5*A20-(8*LN(A20))-8</f>
        <v>-3</v>
      </c>
    </row>
    <row r="21" spans="1:8">
      <c r="A21" s="22">
        <v>2</v>
      </c>
      <c r="B21" s="21">
        <f t="shared" ref="B21:B26" si="6">5*A21-(8*LN(A21))-8</f>
        <v>-3.5451774444795623</v>
      </c>
    </row>
    <row r="22" spans="1:8">
      <c r="A22" s="22">
        <v>3</v>
      </c>
      <c r="B22" s="21">
        <f t="shared" si="6"/>
        <v>-1.7888983093448783</v>
      </c>
    </row>
    <row r="23" spans="1:8">
      <c r="A23" s="22">
        <v>4</v>
      </c>
      <c r="B23" s="21">
        <f t="shared" si="6"/>
        <v>0.90964511104087542</v>
      </c>
    </row>
    <row r="24" spans="1:8">
      <c r="A24" s="22">
        <v>5</v>
      </c>
      <c r="B24" s="21">
        <f t="shared" si="6"/>
        <v>4.1244967005271977</v>
      </c>
    </row>
    <row r="25" spans="1:8">
      <c r="A25" s="22">
        <v>6</v>
      </c>
      <c r="B25" s="21">
        <f t="shared" si="6"/>
        <v>7.6659242461755603</v>
      </c>
    </row>
    <row r="26" spans="1:8">
      <c r="A26" s="22">
        <v>7</v>
      </c>
      <c r="B26" s="21">
        <f t="shared" si="6"/>
        <v>11.432718807557492</v>
      </c>
    </row>
  </sheetData>
  <mergeCells count="1">
    <mergeCell ref="A6:C6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Лист1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0307</dc:creator>
  <cp:lastModifiedBy>0307</cp:lastModifiedBy>
  <dcterms:created xsi:type="dcterms:W3CDTF">2025-10-02T05:51:32Z</dcterms:created>
  <dcterms:modified xsi:type="dcterms:W3CDTF">2025-10-06T09:55:30Z</dcterms:modified>
</cp:coreProperties>
</file>
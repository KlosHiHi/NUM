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 activeTab="1"/>
  </bookViews>
  <sheets>
    <sheet name="Лист1" sheetId="1" r:id="rId1"/>
    <sheet name="Лист2" sheetId="2" r:id="rId2"/>
  </sheets>
  <calcPr calcId="125725"/>
</workbook>
</file>

<file path=xl/calcChain.xml><?xml version="1.0" encoding="utf-8"?>
<calcChain xmlns="http://schemas.openxmlformats.org/spreadsheetml/2006/main">
  <c r="E15" i="2"/>
  <c r="E13"/>
  <c r="F12"/>
  <c r="E12"/>
  <c r="B7"/>
  <c r="C7"/>
  <c r="D7"/>
  <c r="E7"/>
  <c r="F7"/>
  <c r="B8"/>
  <c r="C8" s="1"/>
  <c r="E8" s="1"/>
  <c r="D8"/>
  <c r="F8"/>
  <c r="B9"/>
  <c r="C9"/>
  <c r="D9"/>
  <c r="E9"/>
  <c r="F9"/>
  <c r="B10"/>
  <c r="C10" s="1"/>
  <c r="E10" s="1"/>
  <c r="D10"/>
  <c r="F10"/>
  <c r="B11"/>
  <c r="C11"/>
  <c r="D11"/>
  <c r="E11"/>
  <c r="F11"/>
  <c r="B12"/>
  <c r="I4"/>
  <c r="B2"/>
  <c r="E10" i="1"/>
  <c r="E8"/>
  <c r="F7"/>
  <c r="E7"/>
  <c r="F3"/>
  <c r="F4"/>
  <c r="F5"/>
  <c r="F6"/>
  <c r="F2"/>
  <c r="E2"/>
  <c r="E3"/>
  <c r="E4"/>
  <c r="E5"/>
  <c r="E6"/>
  <c r="D3"/>
  <c r="D4"/>
  <c r="D5"/>
  <c r="D6"/>
  <c r="D2"/>
  <c r="C2"/>
  <c r="C3"/>
  <c r="C4"/>
  <c r="C5"/>
  <c r="C6"/>
  <c r="B4"/>
  <c r="B5" s="1"/>
  <c r="B6" s="1"/>
  <c r="B7" s="1"/>
  <c r="B3"/>
  <c r="B2"/>
  <c r="I4"/>
  <c r="B3" i="2" l="1"/>
  <c r="D3" s="1"/>
  <c r="F3" s="1"/>
  <c r="B4"/>
  <c r="D2"/>
  <c r="F2" s="1"/>
  <c r="C2"/>
  <c r="E2" s="1"/>
  <c r="C3" l="1"/>
  <c r="E3" s="1"/>
  <c r="C4"/>
  <c r="E4" s="1"/>
  <c r="B5"/>
  <c r="D4"/>
  <c r="F4" s="1"/>
  <c r="B6" l="1"/>
  <c r="C5"/>
  <c r="E5" s="1"/>
  <c r="D5"/>
  <c r="F5" s="1"/>
  <c r="D6" l="1"/>
  <c r="F6" s="1"/>
  <c r="C6"/>
  <c r="E6" s="1"/>
</calcChain>
</file>

<file path=xl/sharedStrings.xml><?xml version="1.0" encoding="utf-8"?>
<sst xmlns="http://schemas.openxmlformats.org/spreadsheetml/2006/main" count="26" uniqueCount="15">
  <si>
    <t>i</t>
  </si>
  <si>
    <t>xi</t>
  </si>
  <si>
    <t>a</t>
  </si>
  <si>
    <t>b</t>
  </si>
  <si>
    <t>n</t>
  </si>
  <si>
    <t>h</t>
  </si>
  <si>
    <t>xi+h/2-h/(2*3^1/2)</t>
  </si>
  <si>
    <t>xi+h/2+h/(2*3^1/2)</t>
  </si>
  <si>
    <t>yi-</t>
  </si>
  <si>
    <t>yi+</t>
  </si>
  <si>
    <t>Сумма1</t>
  </si>
  <si>
    <t>сумма</t>
  </si>
  <si>
    <t>интеграл=</t>
  </si>
  <si>
    <t>Сумма=</t>
  </si>
  <si>
    <t>Интеграл=</t>
  </si>
</sst>
</file>

<file path=xl/styles.xml><?xml version="1.0" encoding="utf-8"?>
<styleSheet xmlns="http://schemas.openxmlformats.org/spreadsheetml/2006/main">
  <numFmts count="3">
    <numFmt numFmtId="164" formatCode="0.00000000"/>
    <numFmt numFmtId="171" formatCode="0.00000"/>
    <numFmt numFmtId="173" formatCode="0.000"/>
  </numFmts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3" fontId="0" fillId="6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173" fontId="0" fillId="3" borderId="3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1" xfId="0" applyFill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171" fontId="0" fillId="0" borderId="2" xfId="0" applyNumberFormat="1" applyBorder="1" applyAlignment="1">
      <alignment horizontal="center"/>
    </xf>
    <xf numFmtId="171" fontId="0" fillId="0" borderId="3" xfId="0" applyNumberFormat="1" applyBorder="1" applyAlignment="1">
      <alignment horizontal="center"/>
    </xf>
    <xf numFmtId="171" fontId="0" fillId="2" borderId="3" xfId="0" applyNumberFormat="1" applyFill="1" applyBorder="1"/>
    <xf numFmtId="164" fontId="0" fillId="11" borderId="3" xfId="0" applyNumberFormat="1" applyFill="1" applyBorder="1"/>
    <xf numFmtId="0" fontId="0" fillId="4" borderId="1" xfId="0" applyFill="1" applyBorder="1" applyAlignment="1">
      <alignment horizontal="center"/>
    </xf>
    <xf numFmtId="171" fontId="0" fillId="9" borderId="1" xfId="0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E17" sqref="E17"/>
    </sheetView>
  </sheetViews>
  <sheetFormatPr defaultRowHeight="15"/>
  <cols>
    <col min="1" max="1" width="8" customWidth="1"/>
    <col min="2" max="2" width="8.7109375" customWidth="1"/>
    <col min="3" max="3" width="18.5703125" bestFit="1" customWidth="1"/>
    <col min="4" max="4" width="18.85546875" bestFit="1" customWidth="1"/>
    <col min="5" max="6" width="14.7109375" bestFit="1" customWidth="1"/>
    <col min="9" max="9" width="7.42578125" bestFit="1" customWidth="1"/>
  </cols>
  <sheetData>
    <row r="1" spans="1:9">
      <c r="A1" s="2" t="s">
        <v>0</v>
      </c>
      <c r="B1" s="2" t="s">
        <v>1</v>
      </c>
      <c r="C1" s="2" t="s">
        <v>6</v>
      </c>
      <c r="D1" s="2" t="s">
        <v>7</v>
      </c>
      <c r="E1" s="2" t="s">
        <v>8</v>
      </c>
      <c r="F1" s="2" t="s">
        <v>9</v>
      </c>
      <c r="H1" s="10" t="s">
        <v>2</v>
      </c>
      <c r="I1" s="10">
        <v>0</v>
      </c>
    </row>
    <row r="2" spans="1:9">
      <c r="A2" s="3">
        <v>0</v>
      </c>
      <c r="B2" s="3">
        <f>I1</f>
        <v>0</v>
      </c>
      <c r="C2" s="4">
        <f>B2+$I$4/2-$I$4/(2*SQRT(3))</f>
        <v>2.1132486540518712E-2</v>
      </c>
      <c r="D2" s="4">
        <f>B2+$I$4/2+$I$4/(2*SQRT(3))</f>
        <v>7.8867513459481287E-2</v>
      </c>
      <c r="E2" s="4">
        <f>1/(SQRT(1-C2*C2))</f>
        <v>1.0002233658098378</v>
      </c>
      <c r="F2" s="4">
        <f>1/(SQRT(1-D2*D2))</f>
        <v>1.003124626499927</v>
      </c>
      <c r="H2" s="11" t="s">
        <v>3</v>
      </c>
      <c r="I2" s="11">
        <v>0.5</v>
      </c>
    </row>
    <row r="3" spans="1:9">
      <c r="A3" s="3">
        <v>1</v>
      </c>
      <c r="B3" s="3">
        <f>B2+$I$4</f>
        <v>0.1</v>
      </c>
      <c r="C3" s="4">
        <f t="shared" ref="C3:C7" si="0">B3+$I$4/2-$I$4/(2*SQRT(3))</f>
        <v>0.12113248654051872</v>
      </c>
      <c r="D3" s="4">
        <f t="shared" ref="D3:D7" si="1">B3+$I$4/2+$I$4/(2*SQRT(3))</f>
        <v>0.17886751345948132</v>
      </c>
      <c r="E3" s="4">
        <f t="shared" ref="E3:E7" si="2">1/(SQRT(1-C3*C3))</f>
        <v>1.0074182769329765</v>
      </c>
      <c r="F3" s="4">
        <f t="shared" ref="F3:F7" si="3">1/(SQRT(1-D3*D3))</f>
        <v>1.0163911686318734</v>
      </c>
      <c r="H3" s="12" t="s">
        <v>4</v>
      </c>
      <c r="I3" s="12">
        <v>5</v>
      </c>
    </row>
    <row r="4" spans="1:9">
      <c r="A4" s="3">
        <v>2</v>
      </c>
      <c r="B4" s="3">
        <f t="shared" ref="B4:B7" si="4">B3+$I$4</f>
        <v>0.2</v>
      </c>
      <c r="C4" s="4">
        <f t="shared" si="0"/>
        <v>0.2211324865405187</v>
      </c>
      <c r="D4" s="4">
        <f t="shared" si="1"/>
        <v>0.2788675134594813</v>
      </c>
      <c r="E4" s="4">
        <f t="shared" si="2"/>
        <v>1.0253846517195098</v>
      </c>
      <c r="F4" s="4">
        <f t="shared" si="3"/>
        <v>1.0413091678565047</v>
      </c>
      <c r="H4" s="13" t="s">
        <v>5</v>
      </c>
      <c r="I4" s="13">
        <f>(I2-I1)/I3</f>
        <v>0.1</v>
      </c>
    </row>
    <row r="5" spans="1:9">
      <c r="A5" s="3">
        <v>3</v>
      </c>
      <c r="B5" s="3">
        <f t="shared" si="4"/>
        <v>0.30000000000000004</v>
      </c>
      <c r="C5" s="4">
        <f t="shared" si="0"/>
        <v>0.32113248654051874</v>
      </c>
      <c r="D5" s="4">
        <f t="shared" si="1"/>
        <v>0.37886751345948133</v>
      </c>
      <c r="E5" s="4">
        <f t="shared" si="2"/>
        <v>1.0559279868774001</v>
      </c>
      <c r="F5" s="4">
        <f t="shared" si="3"/>
        <v>1.0805543300787193</v>
      </c>
    </row>
    <row r="6" spans="1:9">
      <c r="A6" s="3">
        <v>4</v>
      </c>
      <c r="B6" s="3">
        <f t="shared" si="4"/>
        <v>0.4</v>
      </c>
      <c r="C6" s="4">
        <f t="shared" si="0"/>
        <v>0.42113248654051871</v>
      </c>
      <c r="D6" s="4">
        <f t="shared" si="1"/>
        <v>0.47886751345948131</v>
      </c>
      <c r="E6" s="4">
        <f t="shared" si="2"/>
        <v>1.1025368853111179</v>
      </c>
      <c r="F6" s="4">
        <f t="shared" si="3"/>
        <v>1.1390985315111768</v>
      </c>
    </row>
    <row r="7" spans="1:9">
      <c r="A7" s="5">
        <v>5</v>
      </c>
      <c r="B7" s="5">
        <f t="shared" si="4"/>
        <v>0.5</v>
      </c>
      <c r="C7" s="1" t="s">
        <v>10</v>
      </c>
      <c r="D7" s="1"/>
      <c r="E7" s="6">
        <f>SUM(E2:E6)</f>
        <v>5.1914911666508416</v>
      </c>
      <c r="F7" s="6">
        <f>SUM(F2:F6)</f>
        <v>5.2804778245782016</v>
      </c>
    </row>
    <row r="8" spans="1:9">
      <c r="D8" s="7" t="s">
        <v>11</v>
      </c>
      <c r="E8" s="8">
        <f>SUM(E7:F7)</f>
        <v>10.471968991229044</v>
      </c>
    </row>
    <row r="10" spans="1:9">
      <c r="D10" s="15" t="s">
        <v>12</v>
      </c>
      <c r="E10" s="9">
        <f>$I$4/2*E8</f>
        <v>0.52359844956145218</v>
      </c>
    </row>
  </sheetData>
  <mergeCells count="1">
    <mergeCell ref="C7:D7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tabSelected="1" zoomScale="115" zoomScaleNormal="115" workbookViewId="0">
      <selection activeCell="H16" sqref="H16"/>
    </sheetView>
  </sheetViews>
  <sheetFormatPr defaultRowHeight="15"/>
  <cols>
    <col min="3" max="3" width="18.140625" bestFit="1" customWidth="1"/>
    <col min="4" max="4" width="18.42578125" bestFit="1" customWidth="1"/>
    <col min="5" max="5" width="11.7109375" bestFit="1" customWidth="1"/>
    <col min="6" max="6" width="9.42578125" bestFit="1" customWidth="1"/>
  </cols>
  <sheetData>
    <row r="1" spans="1:9">
      <c r="A1" s="2" t="s">
        <v>0</v>
      </c>
      <c r="B1" s="2" t="s">
        <v>1</v>
      </c>
      <c r="C1" s="2" t="s">
        <v>6</v>
      </c>
      <c r="D1" s="2" t="s">
        <v>7</v>
      </c>
      <c r="E1" s="2" t="s">
        <v>8</v>
      </c>
      <c r="F1" s="2" t="s">
        <v>9</v>
      </c>
      <c r="H1" s="10" t="s">
        <v>2</v>
      </c>
      <c r="I1" s="10">
        <v>0</v>
      </c>
    </row>
    <row r="2" spans="1:9">
      <c r="A2" s="22">
        <v>0</v>
      </c>
      <c r="B2" s="22">
        <f>I1</f>
        <v>0</v>
      </c>
      <c r="C2" s="17">
        <f>B2+$I$4/2-$I$4/(2*SQRT(3))</f>
        <v>1.0566243270259356E-2</v>
      </c>
      <c r="D2" s="17">
        <f>B2+$I$4/2+$I$4/(2*SQRT(3))</f>
        <v>3.9433756729740643E-2</v>
      </c>
      <c r="E2" s="17">
        <f>1/(SQRT(1-C2*C2))</f>
        <v>1.000055827423127</v>
      </c>
      <c r="F2" s="17">
        <f>1/(SQRT(1-D2*D2))</f>
        <v>1.0007784185456328</v>
      </c>
      <c r="H2" s="11" t="s">
        <v>3</v>
      </c>
      <c r="I2" s="11">
        <v>0.5</v>
      </c>
    </row>
    <row r="3" spans="1:9">
      <c r="A3" s="22">
        <v>1</v>
      </c>
      <c r="B3" s="22">
        <f>B2+$I$4</f>
        <v>0.05</v>
      </c>
      <c r="C3" s="17">
        <f t="shared" ref="C3:C12" si="0">B3+$I$4/2-$I$4/(2*SQRT(3))</f>
        <v>6.0566243270259362E-2</v>
      </c>
      <c r="D3" s="17">
        <f t="shared" ref="D3:D7" si="1">B3+$I$4/2+$I$4/(2*SQRT(3))</f>
        <v>8.943375672974066E-2</v>
      </c>
      <c r="E3" s="17">
        <f t="shared" ref="E3:F7" si="2">1/(SQRT(1-C3*C3))</f>
        <v>1.0018391964632321</v>
      </c>
      <c r="F3" s="17">
        <f t="shared" si="2"/>
        <v>1.0040233498344655</v>
      </c>
      <c r="H3" s="12" t="s">
        <v>4</v>
      </c>
      <c r="I3" s="12">
        <v>10</v>
      </c>
    </row>
    <row r="4" spans="1:9">
      <c r="A4" s="22">
        <v>2</v>
      </c>
      <c r="B4" s="22">
        <f t="shared" ref="B4:B7" si="3">B3+$I$4</f>
        <v>0.1</v>
      </c>
      <c r="C4" s="17">
        <f t="shared" si="0"/>
        <v>0.11056624327025935</v>
      </c>
      <c r="D4" s="17">
        <f t="shared" si="1"/>
        <v>0.13943375672974065</v>
      </c>
      <c r="E4" s="17">
        <f t="shared" si="2"/>
        <v>1.0061690671976886</v>
      </c>
      <c r="F4" s="17">
        <f t="shared" si="2"/>
        <v>1.0098649659177128</v>
      </c>
      <c r="H4" s="13" t="s">
        <v>5</v>
      </c>
      <c r="I4" s="13">
        <f>(I2-I1)/I3</f>
        <v>0.05</v>
      </c>
    </row>
    <row r="5" spans="1:9">
      <c r="A5" s="22">
        <v>3</v>
      </c>
      <c r="B5" s="22">
        <f t="shared" si="3"/>
        <v>0.15000000000000002</v>
      </c>
      <c r="C5" s="17">
        <f t="shared" si="0"/>
        <v>0.16056624327025937</v>
      </c>
      <c r="D5" s="17">
        <f t="shared" si="1"/>
        <v>0.18943375672974067</v>
      </c>
      <c r="E5" s="17">
        <f t="shared" si="2"/>
        <v>1.0131454956251797</v>
      </c>
      <c r="F5" s="17">
        <f t="shared" si="2"/>
        <v>1.0184403875217682</v>
      </c>
    </row>
    <row r="6" spans="1:9">
      <c r="A6" s="22">
        <v>4</v>
      </c>
      <c r="B6" s="22">
        <f t="shared" si="3"/>
        <v>0.2</v>
      </c>
      <c r="C6" s="17">
        <f t="shared" si="0"/>
        <v>0.21056624327025936</v>
      </c>
      <c r="D6" s="17">
        <f t="shared" si="1"/>
        <v>0.23943375672974065</v>
      </c>
      <c r="E6" s="17">
        <f t="shared" si="2"/>
        <v>1.0229346121463538</v>
      </c>
      <c r="F6" s="17">
        <f t="shared" si="2"/>
        <v>1.0299587154292127</v>
      </c>
    </row>
    <row r="7" spans="1:9">
      <c r="A7" s="22">
        <v>5</v>
      </c>
      <c r="B7" s="22">
        <f t="shared" ref="B7:B12" si="4">B6+$I$4</f>
        <v>0.25</v>
      </c>
      <c r="C7" s="17">
        <f t="shared" si="0"/>
        <v>0.2605662432702594</v>
      </c>
      <c r="D7" s="17">
        <f t="shared" ref="D7:D12" si="5">B7+$I$4/2+$I$4/(2*SQRT(3))</f>
        <v>0.28943375672974064</v>
      </c>
      <c r="E7" s="17">
        <f t="shared" ref="E7:E12" si="6">1/(SQRT(1-C7*C7))</f>
        <v>1.035780014355465</v>
      </c>
      <c r="F7" s="17">
        <f t="shared" ref="F7:F12" si="7">1/(SQRT(1-D7*D7))</f>
        <v>1.0447158804016585</v>
      </c>
    </row>
    <row r="8" spans="1:9">
      <c r="A8" s="22">
        <v>6</v>
      </c>
      <c r="B8" s="22">
        <f t="shared" si="4"/>
        <v>0.3</v>
      </c>
      <c r="C8" s="17">
        <f t="shared" si="0"/>
        <v>0.31056624327025939</v>
      </c>
      <c r="D8" s="17">
        <f t="shared" si="5"/>
        <v>0.33943375672974063</v>
      </c>
      <c r="E8" s="17">
        <f t="shared" si="6"/>
        <v>1.0520205886300786</v>
      </c>
      <c r="F8" s="17">
        <f t="shared" si="7"/>
        <v>1.0631173157869778</v>
      </c>
    </row>
    <row r="9" spans="1:9">
      <c r="A9" s="22">
        <v>7</v>
      </c>
      <c r="B9" s="22">
        <f t="shared" si="4"/>
        <v>0.35</v>
      </c>
      <c r="C9" s="17">
        <f t="shared" si="0"/>
        <v>0.36056624327025938</v>
      </c>
      <c r="D9" s="17">
        <f t="shared" si="5"/>
        <v>0.38943375672974062</v>
      </c>
      <c r="E9" s="17">
        <f t="shared" si="6"/>
        <v>1.0721174738516237</v>
      </c>
      <c r="F9" s="17">
        <f t="shared" si="7"/>
        <v>1.0857121106901793</v>
      </c>
    </row>
    <row r="10" spans="1:9">
      <c r="A10" s="22">
        <v>8</v>
      </c>
      <c r="B10" s="22">
        <f t="shared" si="4"/>
        <v>0.39999999999999997</v>
      </c>
      <c r="C10" s="17">
        <f t="shared" si="0"/>
        <v>0.41056624327025937</v>
      </c>
      <c r="D10" s="17">
        <f t="shared" si="5"/>
        <v>0.43943375672974061</v>
      </c>
      <c r="E10" s="17">
        <f t="shared" si="6"/>
        <v>1.0966947254147148</v>
      </c>
      <c r="F10" s="17">
        <f t="shared" si="7"/>
        <v>1.1132448318721915</v>
      </c>
    </row>
    <row r="11" spans="1:9">
      <c r="A11" s="22">
        <v>9</v>
      </c>
      <c r="B11" s="22">
        <f t="shared" si="4"/>
        <v>0.44999999999999996</v>
      </c>
      <c r="C11" s="17">
        <f t="shared" si="0"/>
        <v>0.46056624327025936</v>
      </c>
      <c r="D11" s="17">
        <f t="shared" si="5"/>
        <v>0.4894337567297406</v>
      </c>
      <c r="E11" s="17">
        <f t="shared" si="6"/>
        <v>1.1266014617040421</v>
      </c>
      <c r="F11" s="17">
        <f t="shared" si="7"/>
        <v>1.1467357577801685</v>
      </c>
    </row>
    <row r="12" spans="1:9">
      <c r="A12" s="16">
        <v>10</v>
      </c>
      <c r="B12" s="16">
        <f t="shared" si="4"/>
        <v>0.49999999999999994</v>
      </c>
      <c r="C12" s="18" t="s">
        <v>10</v>
      </c>
      <c r="D12" s="19"/>
      <c r="E12" s="23">
        <f>SUM(E2:E11)</f>
        <v>10.427358462811505</v>
      </c>
      <c r="F12" s="23">
        <f>SUM(F2:F11)</f>
        <v>10.516591733779967</v>
      </c>
    </row>
    <row r="13" spans="1:9">
      <c r="D13" s="14" t="s">
        <v>13</v>
      </c>
      <c r="E13" s="20">
        <f>E12+F12</f>
        <v>20.943950196591473</v>
      </c>
    </row>
    <row r="15" spans="1:9">
      <c r="D15" s="15" t="s">
        <v>14</v>
      </c>
      <c r="E15" s="21">
        <f>I4/2*E13</f>
        <v>0.5235987549147868</v>
      </c>
    </row>
  </sheetData>
  <mergeCells count="1"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2025-11-27T05:52:34Z</dcterms:created>
  <dcterms:modified xsi:type="dcterms:W3CDTF">2025-11-27T06:18:46Z</dcterms:modified>
</cp:coreProperties>
</file>
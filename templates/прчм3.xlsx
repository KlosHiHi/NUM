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3395" windowHeight="12330" activeTab="1"/>
  </bookViews>
  <sheets>
    <sheet name="Лист1" sheetId="1" r:id="rId1"/>
    <sheet name="Лист1 (2)" sheetId="4" r:id="rId2"/>
  </sheets>
  <calcPr calcId="125725"/>
</workbook>
</file>

<file path=xl/calcChain.xml><?xml version="1.0" encoding="utf-8"?>
<calcChain xmlns="http://schemas.openxmlformats.org/spreadsheetml/2006/main">
  <c r="J3" i="4"/>
  <c r="J4"/>
  <c r="J5"/>
  <c r="J6"/>
  <c r="J2"/>
  <c r="A17"/>
  <c r="C17"/>
  <c r="D14"/>
  <c r="D13"/>
  <c r="C13"/>
  <c r="C8"/>
  <c r="C9"/>
  <c r="D9"/>
  <c r="D8"/>
  <c r="C14" i="1"/>
  <c r="F15"/>
  <c r="C15" s="1"/>
  <c r="F16"/>
  <c r="F17"/>
  <c r="F18"/>
  <c r="B17" i="4" l="1"/>
  <c r="D17"/>
  <c r="E17" l="1"/>
  <c r="F17" s="1"/>
  <c r="A14" i="1" l="1"/>
  <c r="E14" s="1"/>
  <c r="F14"/>
  <c r="D9"/>
  <c r="D8"/>
  <c r="C9"/>
  <c r="C8"/>
  <c r="B13" i="4"/>
  <c r="E9"/>
  <c r="E8"/>
  <c r="E9" i="1" l="1"/>
  <c r="A15"/>
  <c r="E15" s="1"/>
  <c r="E13" i="4"/>
  <c r="F13" s="1"/>
  <c r="A14"/>
  <c r="E8" i="1"/>
  <c r="C14" i="4" l="1"/>
  <c r="B14"/>
  <c r="D14" i="1"/>
  <c r="G14" s="1"/>
  <c r="A15" i="4" l="1"/>
  <c r="D15" s="1"/>
  <c r="E14"/>
  <c r="F14" s="1"/>
  <c r="A16" i="1"/>
  <c r="D15"/>
  <c r="G15" s="1"/>
  <c r="C15" i="4" l="1"/>
  <c r="B15" s="1"/>
  <c r="E16" i="1"/>
  <c r="C16" s="1"/>
  <c r="A17" l="1"/>
  <c r="D16"/>
  <c r="G16" s="1"/>
  <c r="E15" i="4" l="1"/>
  <c r="F15" s="1"/>
  <c r="A16"/>
  <c r="D16" s="1"/>
  <c r="E17" i="1"/>
  <c r="C17" s="1"/>
  <c r="C16" i="4" l="1"/>
  <c r="B16" s="1"/>
  <c r="E16" s="1"/>
  <c r="F16" s="1"/>
  <c r="A18" i="1"/>
  <c r="D17"/>
  <c r="G17" s="1"/>
  <c r="E18"/>
  <c r="C18" s="1"/>
  <c r="D18" l="1"/>
  <c r="G18" s="1"/>
</calcChain>
</file>

<file path=xl/sharedStrings.xml><?xml version="1.0" encoding="utf-8"?>
<sst xmlns="http://schemas.openxmlformats.org/spreadsheetml/2006/main" count="47" uniqueCount="34">
  <si>
    <t>точность</t>
  </si>
  <si>
    <t>е=</t>
  </si>
  <si>
    <t>Проверка на сходимость</t>
  </si>
  <si>
    <t>Граница</t>
  </si>
  <si>
    <t>Значение</t>
  </si>
  <si>
    <t>f(x)</t>
  </si>
  <si>
    <t>f2(x)</t>
  </si>
  <si>
    <t>Условие</t>
  </si>
  <si>
    <t>а</t>
  </si>
  <si>
    <t>b</t>
  </si>
  <si>
    <t>Итерации</t>
  </si>
  <si>
    <t>z</t>
  </si>
  <si>
    <t>d</t>
  </si>
  <si>
    <t>c</t>
  </si>
  <si>
    <t>R</t>
  </si>
  <si>
    <t>f(d)</t>
  </si>
  <si>
    <t>k</t>
  </si>
  <si>
    <t>условие</t>
  </si>
  <si>
    <t>f(c )</t>
  </si>
  <si>
    <t>Корень</t>
  </si>
  <si>
    <t>Число итераций</t>
  </si>
  <si>
    <r>
      <t>x</t>
    </r>
    <r>
      <rPr>
        <sz val="8"/>
        <color theme="1"/>
        <rFont val="Calibri"/>
        <family val="2"/>
        <charset val="204"/>
        <scheme val="minor"/>
      </rPr>
      <t>n</t>
    </r>
  </si>
  <si>
    <r>
      <t>x</t>
    </r>
    <r>
      <rPr>
        <sz val="8"/>
        <color theme="1"/>
        <rFont val="Calibri"/>
        <family val="2"/>
        <charset val="204"/>
        <scheme val="minor"/>
      </rPr>
      <t>n+1</t>
    </r>
  </si>
  <si>
    <r>
      <t>f(x</t>
    </r>
    <r>
      <rPr>
        <sz val="8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>)</t>
    </r>
  </si>
  <si>
    <r>
      <t>f'(x</t>
    </r>
    <r>
      <rPr>
        <sz val="8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>)</t>
    </r>
  </si>
  <si>
    <t>f1(x)=6x^2+6x-24</t>
  </si>
  <si>
    <t>f(x)=2x^3+3x^2-24x-10</t>
  </si>
  <si>
    <t>f2(x)=12x+6</t>
  </si>
  <si>
    <t>x0=c=</t>
  </si>
  <si>
    <t>d=a=-5</t>
  </si>
  <si>
    <t>f(x)=5x-8ln(x)-8</t>
  </si>
  <si>
    <t>f1(x)=5-6/x</t>
  </si>
  <si>
    <t>f2(x)=6/x^2</t>
  </si>
  <si>
    <t>x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</si>
</sst>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2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32"/>
  <sheetViews>
    <sheetView zoomScaleNormal="100" workbookViewId="0">
      <selection activeCell="C18" sqref="C18"/>
    </sheetView>
  </sheetViews>
  <sheetFormatPr defaultRowHeight="15"/>
  <cols>
    <col min="1" max="1" width="12.140625" bestFit="1" customWidth="1"/>
    <col min="2" max="2" width="9.7109375" bestFit="1" customWidth="1"/>
    <col min="3" max="3" width="10.42578125" bestFit="1" customWidth="1"/>
    <col min="4" max="4" width="9" bestFit="1" customWidth="1"/>
    <col min="5" max="5" width="8.5703125" bestFit="1" customWidth="1"/>
    <col min="6" max="6" width="8.28515625" bestFit="1" customWidth="1"/>
    <col min="7" max="7" width="12.85546875" bestFit="1" customWidth="1"/>
    <col min="8" max="8" width="4.140625" customWidth="1"/>
  </cols>
  <sheetData>
    <row r="2" spans="1:8">
      <c r="A2" t="s">
        <v>26</v>
      </c>
      <c r="D2" s="5" t="s">
        <v>0</v>
      </c>
      <c r="E2" s="2" t="s">
        <v>1</v>
      </c>
      <c r="F2" s="3">
        <v>1E-3</v>
      </c>
    </row>
    <row r="3" spans="1:8">
      <c r="A3" t="s">
        <v>25</v>
      </c>
    </row>
    <row r="4" spans="1:8">
      <c r="A4" t="s">
        <v>27</v>
      </c>
    </row>
    <row r="6" spans="1:8">
      <c r="A6" s="22" t="s">
        <v>2</v>
      </c>
      <c r="B6" s="22"/>
      <c r="C6" s="22"/>
    </row>
    <row r="7" spans="1:8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</row>
    <row r="8" spans="1:8">
      <c r="A8" s="4" t="s">
        <v>8</v>
      </c>
      <c r="B8" s="4">
        <v>-5</v>
      </c>
      <c r="C8" s="4">
        <f>2*B8^3+3*B8^2-24*B8-10</f>
        <v>-65</v>
      </c>
      <c r="D8" s="4">
        <f>12*B8+6</f>
        <v>-54</v>
      </c>
      <c r="E8" s="4" t="str">
        <f>IF(C8*D8&gt;0,"вып","нет")</f>
        <v>вып</v>
      </c>
    </row>
    <row r="9" spans="1:8">
      <c r="A9" s="4" t="s">
        <v>9</v>
      </c>
      <c r="B9" s="4">
        <v>-4</v>
      </c>
      <c r="C9" s="4">
        <f>2*B9^3+3*B9^2-24*B9-10</f>
        <v>6</v>
      </c>
      <c r="D9" s="4">
        <f>12*B9+6</f>
        <v>-42</v>
      </c>
      <c r="E9" s="4" t="str">
        <f>IF(C9*D9&gt;0,"вып","нет")</f>
        <v>нет</v>
      </c>
    </row>
    <row r="10" spans="1:8">
      <c r="C10" t="s">
        <v>28</v>
      </c>
      <c r="E10" t="s">
        <v>29</v>
      </c>
    </row>
    <row r="12" spans="1:8">
      <c r="A12" s="6" t="s">
        <v>10</v>
      </c>
      <c r="B12" s="1"/>
      <c r="C12" s="1"/>
      <c r="D12" s="1"/>
      <c r="E12" s="1"/>
      <c r="F12" s="1"/>
      <c r="G12" s="1"/>
      <c r="H12" s="1"/>
    </row>
    <row r="13" spans="1:8">
      <c r="A13" s="7" t="s">
        <v>13</v>
      </c>
      <c r="B13" s="8" t="s">
        <v>12</v>
      </c>
      <c r="C13" s="8" t="s">
        <v>11</v>
      </c>
      <c r="D13" s="8" t="s">
        <v>14</v>
      </c>
      <c r="E13" s="8" t="s">
        <v>18</v>
      </c>
      <c r="F13" s="8" t="s">
        <v>15</v>
      </c>
      <c r="G13" s="8" t="s">
        <v>17</v>
      </c>
      <c r="H13" s="8" t="s">
        <v>16</v>
      </c>
    </row>
    <row r="14" spans="1:8">
      <c r="A14" s="9">
        <f>B9</f>
        <v>-4</v>
      </c>
      <c r="B14" s="9">
        <v>-5</v>
      </c>
      <c r="C14" s="9">
        <f>A14-(E14*(B14-A14))/(F14-E14)</f>
        <v>-4.084507042253521</v>
      </c>
      <c r="D14" s="9">
        <f>ABS(C14-A14 )</f>
        <v>8.4507042253521014E-2</v>
      </c>
      <c r="E14" s="9">
        <f>(2*A14^3+3*A14^2-24*A14-10)</f>
        <v>6</v>
      </c>
      <c r="F14" s="9">
        <f>(2*B14^3+3*B14^2-24*B14-10)</f>
        <v>-65</v>
      </c>
      <c r="G14" s="9" t="str">
        <f>IF(D14&lt;$F$2,"выполняется","нет")</f>
        <v>нет</v>
      </c>
      <c r="H14" s="10">
        <v>0</v>
      </c>
    </row>
    <row r="15" spans="1:8">
      <c r="A15" s="9">
        <f>C14</f>
        <v>-4.084507042253521</v>
      </c>
      <c r="B15" s="9">
        <v>-5</v>
      </c>
      <c r="C15" s="9">
        <f t="shared" ref="C15:C18" si="0">A15-(E15*(B15-A15))/(F15-E15)</f>
        <v>-4.1090757815112804</v>
      </c>
      <c r="D15" s="9">
        <f>ABS(C15-A15 )</f>
        <v>2.4568739257759376E-2</v>
      </c>
      <c r="E15" s="9">
        <f t="shared" ref="E15:E18" si="1">(2*A15^3+3*A15^2-24*A15-10)</f>
        <v>1.7924847238559494</v>
      </c>
      <c r="F15" s="9">
        <f t="shared" ref="F15:F18" si="2">(2*B15^3+3*B15^2-24*B15-10)</f>
        <v>-65</v>
      </c>
      <c r="G15" s="9" t="str">
        <f t="shared" ref="G15:G18" si="3">IF(D15&lt;$F$2,"выполняется","нет")</f>
        <v>нет</v>
      </c>
      <c r="H15" s="10">
        <v>1</v>
      </c>
    </row>
    <row r="16" spans="1:8">
      <c r="A16" s="9">
        <f t="shared" ref="A16:A17" si="4">C15</f>
        <v>-4.1090757815112804</v>
      </c>
      <c r="B16" s="9">
        <v>-5</v>
      </c>
      <c r="C16" s="9">
        <f t="shared" si="0"/>
        <v>-4.1160375835776657</v>
      </c>
      <c r="D16" s="9">
        <f t="shared" ref="D16:D17" si="5">ABS(C16-A16 )</f>
        <v>6.9618020663853031E-3</v>
      </c>
      <c r="E16" s="9">
        <f t="shared" si="1"/>
        <v>0.51191897518280882</v>
      </c>
      <c r="F16" s="9">
        <f t="shared" si="2"/>
        <v>-65</v>
      </c>
      <c r="G16" s="9" t="str">
        <f t="shared" si="3"/>
        <v>нет</v>
      </c>
      <c r="H16" s="10">
        <v>2</v>
      </c>
    </row>
    <row r="17" spans="1:8">
      <c r="A17" s="9">
        <f t="shared" si="4"/>
        <v>-4.1160375835776657</v>
      </c>
      <c r="B17" s="9">
        <v>-5</v>
      </c>
      <c r="C17" s="9">
        <f t="shared" si="0"/>
        <v>-4.1179957960687918</v>
      </c>
      <c r="D17" s="9">
        <f t="shared" si="5"/>
        <v>1.9582124911261545E-3</v>
      </c>
      <c r="E17" s="9">
        <f t="shared" si="1"/>
        <v>0.14431202408771071</v>
      </c>
      <c r="F17" s="9">
        <f t="shared" si="2"/>
        <v>-65</v>
      </c>
      <c r="G17" s="9" t="str">
        <f t="shared" si="3"/>
        <v>нет</v>
      </c>
      <c r="H17" s="10">
        <v>3</v>
      </c>
    </row>
    <row r="18" spans="1:8">
      <c r="A18" s="9">
        <f t="shared" ref="A18" si="6">C17</f>
        <v>-4.1179957960687918</v>
      </c>
      <c r="B18" s="9">
        <v>-5</v>
      </c>
      <c r="C18" s="11">
        <f t="shared" si="0"/>
        <v>-4.1185454563437576</v>
      </c>
      <c r="D18" s="9">
        <f t="shared" ref="D18" si="7">ABS(C18-A18 )</f>
        <v>5.4966027496572423E-4</v>
      </c>
      <c r="E18" s="9">
        <f t="shared" si="1"/>
        <v>4.0532910210643536E-2</v>
      </c>
      <c r="F18" s="9">
        <f t="shared" si="2"/>
        <v>-65</v>
      </c>
      <c r="G18" s="9" t="str">
        <f t="shared" si="3"/>
        <v>выполняется</v>
      </c>
      <c r="H18" s="10">
        <v>4</v>
      </c>
    </row>
    <row r="19" spans="1:8">
      <c r="A19" s="16"/>
      <c r="B19" s="16"/>
      <c r="C19" s="16"/>
      <c r="D19" s="16"/>
      <c r="E19" s="16"/>
      <c r="F19" s="16"/>
      <c r="G19" s="16"/>
      <c r="H19" s="13"/>
    </row>
    <row r="20" spans="1:8">
      <c r="A20" s="16"/>
      <c r="B20" s="16"/>
      <c r="C20" s="16"/>
      <c r="D20" s="16"/>
      <c r="E20" s="16"/>
      <c r="F20" s="16"/>
      <c r="G20" s="16"/>
      <c r="H20" s="13"/>
    </row>
    <row r="21" spans="1:8">
      <c r="A21" s="16"/>
      <c r="B21" s="16"/>
      <c r="C21" s="16"/>
      <c r="D21" s="16"/>
      <c r="E21" s="16"/>
      <c r="F21" s="16"/>
      <c r="G21" s="16"/>
      <c r="H21" s="13"/>
    </row>
    <row r="22" spans="1:8">
      <c r="A22" s="16"/>
      <c r="B22" s="16"/>
      <c r="C22" s="16"/>
      <c r="D22" s="16"/>
      <c r="E22" s="16"/>
      <c r="F22" s="16"/>
      <c r="G22" s="16"/>
      <c r="H22" s="13"/>
    </row>
    <row r="23" spans="1:8">
      <c r="A23" s="16"/>
      <c r="B23" s="16"/>
      <c r="C23" s="16"/>
      <c r="D23" s="16"/>
      <c r="E23" s="16"/>
      <c r="F23" s="16"/>
      <c r="G23" s="16"/>
      <c r="H23" s="13"/>
    </row>
    <row r="24" spans="1:8">
      <c r="A24" s="16"/>
      <c r="B24" s="16"/>
      <c r="C24" s="16"/>
      <c r="D24" s="16"/>
      <c r="E24" s="16"/>
      <c r="F24" s="16"/>
      <c r="G24" s="16"/>
      <c r="H24" s="13"/>
    </row>
    <row r="25" spans="1:8">
      <c r="A25" s="16"/>
      <c r="B25" s="16"/>
      <c r="C25" s="16"/>
      <c r="D25" s="16"/>
      <c r="E25" s="16"/>
      <c r="F25" s="16"/>
      <c r="G25" s="16"/>
      <c r="H25" s="13"/>
    </row>
    <row r="26" spans="1:8">
      <c r="A26" s="16"/>
      <c r="B26" s="16"/>
      <c r="C26" s="16"/>
      <c r="D26" s="16"/>
      <c r="E26" s="16"/>
      <c r="F26" s="16"/>
      <c r="G26" s="16"/>
      <c r="H26" s="13"/>
    </row>
    <row r="27" spans="1:8">
      <c r="A27" s="16"/>
      <c r="B27" s="16"/>
      <c r="C27" s="16"/>
      <c r="D27" s="16"/>
      <c r="E27" s="16"/>
      <c r="F27" s="16"/>
      <c r="G27" s="16"/>
      <c r="H27" s="13"/>
    </row>
    <row r="28" spans="1:8">
      <c r="A28" s="16"/>
      <c r="B28" s="16"/>
      <c r="C28" s="16"/>
      <c r="D28" s="16"/>
      <c r="E28" s="16"/>
      <c r="F28" s="16"/>
      <c r="G28" s="16"/>
      <c r="H28" s="13"/>
    </row>
    <row r="29" spans="1:8">
      <c r="A29" s="16"/>
      <c r="B29" s="16"/>
      <c r="C29" s="16"/>
      <c r="D29" s="16"/>
      <c r="E29" s="16"/>
      <c r="F29" s="16"/>
      <c r="G29" s="16"/>
      <c r="H29" s="13"/>
    </row>
    <row r="30" spans="1:8">
      <c r="A30" s="16"/>
      <c r="B30" s="16"/>
      <c r="C30" s="16"/>
      <c r="D30" s="16"/>
      <c r="E30" s="16"/>
      <c r="F30" s="16"/>
      <c r="G30" s="16"/>
      <c r="H30" s="13"/>
    </row>
    <row r="31" spans="1:8">
      <c r="A31" s="16"/>
      <c r="B31" s="16"/>
      <c r="C31" s="16"/>
      <c r="D31" s="16"/>
      <c r="E31" s="16"/>
      <c r="F31" s="16"/>
      <c r="G31" s="16"/>
      <c r="H31" s="13"/>
    </row>
    <row r="32" spans="1:8">
      <c r="A32" s="16"/>
      <c r="B32" s="16"/>
      <c r="C32" s="16"/>
      <c r="D32" s="16"/>
      <c r="E32" s="16"/>
      <c r="F32" s="16"/>
      <c r="G32" s="16"/>
      <c r="H32" s="13"/>
    </row>
  </sheetData>
  <mergeCells count="1">
    <mergeCell ref="A6:C6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tabSelected="1" zoomScale="115" zoomScaleNormal="115" workbookViewId="0">
      <selection activeCell="J9" sqref="J9"/>
    </sheetView>
  </sheetViews>
  <sheetFormatPr defaultRowHeight="15"/>
  <cols>
    <col min="1" max="1" width="12.140625" bestFit="1" customWidth="1"/>
    <col min="2" max="2" width="9.7109375" bestFit="1" customWidth="1"/>
    <col min="3" max="3" width="7.85546875" bestFit="1" customWidth="1"/>
    <col min="4" max="4" width="9" bestFit="1" customWidth="1"/>
    <col min="5" max="5" width="8.5703125" bestFit="1" customWidth="1"/>
    <col min="6" max="6" width="14.42578125" bestFit="1" customWidth="1"/>
    <col min="7" max="7" width="15.7109375" bestFit="1" customWidth="1"/>
    <col min="8" max="8" width="4.140625" customWidth="1"/>
  </cols>
  <sheetData>
    <row r="1" spans="1:10">
      <c r="I1" s="4" t="s">
        <v>33</v>
      </c>
      <c r="J1" s="4" t="s">
        <v>5</v>
      </c>
    </row>
    <row r="2" spans="1:10">
      <c r="A2" t="s">
        <v>30</v>
      </c>
      <c r="D2" s="5" t="s">
        <v>0</v>
      </c>
      <c r="E2" s="2" t="s">
        <v>1</v>
      </c>
      <c r="F2" s="3">
        <v>1E-3</v>
      </c>
      <c r="I2" s="4">
        <v>1</v>
      </c>
      <c r="J2" s="21">
        <f>5*I2-8*LN(I2)-8</f>
        <v>-3</v>
      </c>
    </row>
    <row r="3" spans="1:10">
      <c r="A3" t="s">
        <v>31</v>
      </c>
      <c r="I3" s="4">
        <v>2</v>
      </c>
      <c r="J3" s="21">
        <f t="shared" ref="J3:J6" si="0">5*I3-8*LN(I3)-8</f>
        <v>-3.5451774444795623</v>
      </c>
    </row>
    <row r="4" spans="1:10">
      <c r="A4" t="s">
        <v>32</v>
      </c>
      <c r="I4" s="25">
        <v>3</v>
      </c>
      <c r="J4" s="26">
        <f t="shared" si="0"/>
        <v>-1.7888983093448783</v>
      </c>
    </row>
    <row r="5" spans="1:10">
      <c r="I5" s="23">
        <v>4</v>
      </c>
      <c r="J5" s="24">
        <f t="shared" si="0"/>
        <v>0.90964511104087542</v>
      </c>
    </row>
    <row r="6" spans="1:10">
      <c r="A6" s="22" t="s">
        <v>2</v>
      </c>
      <c r="B6" s="22"/>
      <c r="C6" s="22"/>
      <c r="I6" s="4">
        <v>5</v>
      </c>
      <c r="J6" s="21">
        <f t="shared" si="0"/>
        <v>4.1244967005271977</v>
      </c>
    </row>
    <row r="7" spans="1:10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</row>
    <row r="8" spans="1:10">
      <c r="A8" s="4" t="s">
        <v>8</v>
      </c>
      <c r="B8" s="4">
        <v>3</v>
      </c>
      <c r="C8" s="20">
        <f>5*B8-8*LN(B8)-8</f>
        <v>-1.7888983093448783</v>
      </c>
      <c r="D8" s="20">
        <f>6/B8^2</f>
        <v>0.66666666666666663</v>
      </c>
      <c r="E8" s="4" t="str">
        <f>IF(C8*D8&gt;0,"вып","нет")</f>
        <v>нет</v>
      </c>
    </row>
    <row r="9" spans="1:10">
      <c r="A9" s="4" t="s">
        <v>9</v>
      </c>
      <c r="B9" s="4">
        <v>4</v>
      </c>
      <c r="C9" s="20">
        <f>5*B9-8*LN(B9)-8</f>
        <v>0.90964511104087542</v>
      </c>
      <c r="D9" s="20">
        <f>6/B9^2</f>
        <v>0.375</v>
      </c>
      <c r="E9" s="4" t="str">
        <f>IF(C9*D9&gt;0,"вып","нет")</f>
        <v>вып</v>
      </c>
    </row>
    <row r="11" spans="1:10">
      <c r="A11" s="6" t="s">
        <v>10</v>
      </c>
      <c r="B11" s="1"/>
      <c r="C11" s="1"/>
      <c r="D11" s="1"/>
      <c r="E11" s="1"/>
      <c r="F11" s="1"/>
      <c r="G11" s="1"/>
      <c r="H11" s="1"/>
    </row>
    <row r="12" spans="1:10">
      <c r="A12" s="7" t="s">
        <v>21</v>
      </c>
      <c r="B12" s="8" t="s">
        <v>22</v>
      </c>
      <c r="C12" s="8" t="s">
        <v>23</v>
      </c>
      <c r="D12" s="8" t="s">
        <v>24</v>
      </c>
      <c r="E12" s="8" t="s">
        <v>14</v>
      </c>
      <c r="F12" s="8" t="s">
        <v>19</v>
      </c>
      <c r="G12" s="8" t="s">
        <v>20</v>
      </c>
      <c r="H12" s="12"/>
    </row>
    <row r="13" spans="1:10">
      <c r="A13" s="9">
        <v>4</v>
      </c>
      <c r="B13" s="9">
        <f>A13-(C13/D13)</f>
        <v>3.7401013968454642</v>
      </c>
      <c r="C13" s="9">
        <f>5*A13-8*LN(A13)-8</f>
        <v>0.90964511104087542</v>
      </c>
      <c r="D13" s="9">
        <f>5-6/A13</f>
        <v>3.5</v>
      </c>
      <c r="E13" s="9">
        <f>ABS(B13-A13)</f>
        <v>0.25989860315453583</v>
      </c>
      <c r="F13" s="9" t="str">
        <f>IF(E13&lt;$F$2,"Корень="&amp;ROUND(B13,4),"---")</f>
        <v>---</v>
      </c>
      <c r="G13" s="10">
        <v>1</v>
      </c>
      <c r="H13" s="13"/>
    </row>
    <row r="14" spans="1:10">
      <c r="A14" s="9">
        <f>B13</f>
        <v>3.7401013968454642</v>
      </c>
      <c r="B14" s="9">
        <f t="shared" ref="B14:B16" si="1">A14-(C14/D14)</f>
        <v>3.6966339643444703</v>
      </c>
      <c r="C14" s="9">
        <f t="shared" ref="C14:C16" si="2">5*A14-8*LN(A14)-8</f>
        <v>0.14760520410781552</v>
      </c>
      <c r="D14" s="9">
        <f t="shared" ref="D14:D16" si="3">5-6/A14</f>
        <v>3.3957654182689767</v>
      </c>
      <c r="E14" s="9">
        <f t="shared" ref="E14:E16" si="4">ABS(B14-A14)</f>
        <v>4.346743250099383E-2</v>
      </c>
      <c r="F14" s="9" t="str">
        <f t="shared" ref="F14:F16" si="5">IF(E14&lt;$F$2,"Корень="&amp;ROUND(B14,4),"---")</f>
        <v>---</v>
      </c>
      <c r="G14" s="10">
        <v>2</v>
      </c>
      <c r="H14" s="13"/>
    </row>
    <row r="15" spans="1:10">
      <c r="A15" s="9">
        <f t="shared" ref="A15:A16" si="6">B14</f>
        <v>3.6966339643444703</v>
      </c>
      <c r="B15" s="9">
        <f t="shared" si="1"/>
        <v>3.689589491777816</v>
      </c>
      <c r="C15" s="9">
        <f t="shared" si="2"/>
        <v>2.3788491963824043E-2</v>
      </c>
      <c r="D15" s="9">
        <f t="shared" si="3"/>
        <v>3.376901782034027</v>
      </c>
      <c r="E15" s="9">
        <f t="shared" si="4"/>
        <v>7.0444725666543029E-3</v>
      </c>
      <c r="F15" s="9" t="str">
        <f t="shared" si="5"/>
        <v>---</v>
      </c>
      <c r="G15" s="10">
        <v>3</v>
      </c>
      <c r="H15" s="13"/>
    </row>
    <row r="16" spans="1:10">
      <c r="A16" s="14">
        <f t="shared" si="6"/>
        <v>3.689589491777816</v>
      </c>
      <c r="B16" s="9">
        <f t="shared" si="1"/>
        <v>3.6884555088807893</v>
      </c>
      <c r="C16" s="9">
        <f t="shared" si="2"/>
        <v>3.8258347040844853E-3</v>
      </c>
      <c r="D16" s="9">
        <f t="shared" si="3"/>
        <v>3.3738028272871841</v>
      </c>
      <c r="E16" s="14">
        <f t="shared" si="4"/>
        <v>1.1339828970267085E-3</v>
      </c>
      <c r="F16" s="17" t="str">
        <f t="shared" si="5"/>
        <v>---</v>
      </c>
      <c r="G16" s="15">
        <v>4</v>
      </c>
      <c r="H16" s="13"/>
    </row>
    <row r="17" spans="1:8">
      <c r="A17" s="9">
        <f t="shared" ref="A17" si="7">B16</f>
        <v>3.6884555088807893</v>
      </c>
      <c r="B17" s="9">
        <f t="shared" ref="B17" si="8">A17-(C17/D17)</f>
        <v>3.6882731738786356</v>
      </c>
      <c r="C17" s="9">
        <f t="shared" ref="C17" si="9">5*A17-8*LN(A17)-8</f>
        <v>6.1507118559411822E-4</v>
      </c>
      <c r="D17" s="9">
        <f t="shared" ref="D17" si="10">5-6/A17</f>
        <v>3.3733028674051657</v>
      </c>
      <c r="E17" s="9">
        <f t="shared" ref="E17" si="11">ABS(B17-A17)</f>
        <v>1.8233500215369958E-4</v>
      </c>
      <c r="F17" s="11" t="str">
        <f t="shared" ref="F17" si="12">IF(E17&lt;$F$2,"Корень="&amp;ROUND(B17,4),"---")</f>
        <v>Корень=3,6883</v>
      </c>
      <c r="G17" s="10">
        <v>5</v>
      </c>
      <c r="H17" s="13"/>
    </row>
    <row r="18" spans="1:8">
      <c r="A18" s="18"/>
      <c r="B18" s="18"/>
      <c r="C18" s="18"/>
      <c r="D18" s="18"/>
      <c r="E18" s="18"/>
      <c r="F18" s="18"/>
      <c r="G18" s="19"/>
      <c r="H18" s="13"/>
    </row>
    <row r="19" spans="1:8">
      <c r="A19" s="18"/>
      <c r="B19" s="18"/>
      <c r="C19" s="18"/>
      <c r="D19" s="18"/>
      <c r="E19" s="18"/>
      <c r="F19" s="18"/>
      <c r="G19" s="19"/>
    </row>
  </sheetData>
  <mergeCells count="1">
    <mergeCell ref="A6:C6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2025-10-02T05:51:32Z</dcterms:created>
  <dcterms:modified xsi:type="dcterms:W3CDTF">2025-10-23T06:48:24Z</dcterms:modified>
</cp:coreProperties>
</file>
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ces\Desktop\programm\course_third\NM\labs\"/>
    </mc:Choice>
  </mc:AlternateContent>
  <xr:revisionPtr revIDLastSave="0" documentId="13_ncr:1_{D517EA2E-2FAE-4177-9A1A-43BC2AFD5E6E}" xr6:coauthVersionLast="47" xr6:coauthVersionMax="47" xr10:uidLastSave="{00000000-0000-0000-0000-000000000000}"/>
  <bookViews>
    <workbookView xWindow="14265" yWindow="0" windowWidth="14640" windowHeight="16305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E2" i="2" s="1"/>
  <c r="B2" i="2"/>
  <c r="B3" i="2"/>
  <c r="I4" i="2"/>
  <c r="F3" i="2"/>
  <c r="F4" i="2"/>
  <c r="F5" i="2"/>
  <c r="F6" i="2"/>
  <c r="F7" i="2"/>
  <c r="F8" i="2"/>
  <c r="F9" i="2"/>
  <c r="F10" i="2"/>
  <c r="F11" i="2"/>
  <c r="E3" i="2"/>
  <c r="E4" i="2"/>
  <c r="E5" i="2"/>
  <c r="E6" i="2"/>
  <c r="E7" i="2"/>
  <c r="E8" i="2"/>
  <c r="E9" i="2"/>
  <c r="E10" i="2"/>
  <c r="E11" i="2"/>
  <c r="F2" i="2"/>
  <c r="C3" i="2"/>
  <c r="D3" i="2" l="1"/>
  <c r="D2" i="2"/>
  <c r="B4" i="2" l="1"/>
  <c r="C4" i="2"/>
  <c r="B5" i="2"/>
  <c r="D4" i="2"/>
  <c r="B6" i="2" l="1"/>
  <c r="B7" i="2" s="1"/>
  <c r="C5" i="2"/>
  <c r="D5" i="2"/>
  <c r="C7" i="2" l="1"/>
  <c r="D7" i="2"/>
  <c r="B8" i="2"/>
  <c r="D6" i="2"/>
  <c r="C6" i="2"/>
  <c r="C8" i="2" l="1"/>
  <c r="B9" i="2"/>
  <c r="D8" i="2"/>
  <c r="D9" i="2" l="1"/>
  <c r="C9" i="2"/>
  <c r="B10" i="2"/>
  <c r="C10" i="2" l="1"/>
  <c r="B11" i="2"/>
  <c r="D10" i="2"/>
  <c r="B12" i="2" l="1"/>
  <c r="D11" i="2"/>
  <c r="C11" i="2"/>
  <c r="E12" i="2" l="1"/>
  <c r="E13" i="2" s="1"/>
  <c r="F12" i="2"/>
  <c r="E15" i="2" l="1"/>
</calcChain>
</file>

<file path=xl/sharedStrings.xml><?xml version="1.0" encoding="utf-8"?>
<sst xmlns="http://schemas.openxmlformats.org/spreadsheetml/2006/main" count="13" uniqueCount="13">
  <si>
    <t>i</t>
  </si>
  <si>
    <t>xi</t>
  </si>
  <si>
    <t>a</t>
  </si>
  <si>
    <t>b</t>
  </si>
  <si>
    <t>n</t>
  </si>
  <si>
    <t>h</t>
  </si>
  <si>
    <t>xi+h/2-h/(2*3^1/2)</t>
  </si>
  <si>
    <t>xi+h/2+h/(2*3^1/2)</t>
  </si>
  <si>
    <t>yi-</t>
  </si>
  <si>
    <t>yi+</t>
  </si>
  <si>
    <t>Сумма1</t>
  </si>
  <si>
    <t>Сумма=</t>
  </si>
  <si>
    <t>Интеграл=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</si>
</sst>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8" formatCode="0.00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" borderId="3" xfId="0" applyNumberFormat="1" applyFill="1" applyBorder="1"/>
    <xf numFmtId="0" fontId="0" fillId="3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8" fontId="0" fillId="9" borderId="3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zoomScale="115" zoomScaleNormal="115" workbookViewId="0">
      <selection activeCell="F14" sqref="F14"/>
    </sheetView>
  </sheetViews>
  <sheetFormatPr defaultRowHeight="15" x14ac:dyDescent="0.25"/>
  <cols>
    <col min="3" max="3" width="18.140625" bestFit="1" customWidth="1"/>
    <col min="4" max="4" width="18.28515625" bestFit="1" customWidth="1"/>
    <col min="5" max="5" width="11.7109375" bestFit="1" customWidth="1"/>
    <col min="6" max="6" width="9.42578125" bestFit="1" customWidth="1"/>
  </cols>
  <sheetData>
    <row r="1" spans="1:9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H1" s="2" t="s">
        <v>2</v>
      </c>
      <c r="I1" s="2">
        <v>1</v>
      </c>
    </row>
    <row r="2" spans="1:9" x14ac:dyDescent="0.25">
      <c r="A2" s="11">
        <v>0</v>
      </c>
      <c r="B2" s="11">
        <f>I1</f>
        <v>1</v>
      </c>
      <c r="C2" s="9">
        <f>B2+$I$4/2-$I$4/(2*SQRT(3))</f>
        <v>1.0211324865405187</v>
      </c>
      <c r="D2" s="9">
        <f>B2+$I$4/2+$I$4/(2*SQRT(3))</f>
        <v>1.0788675134594814</v>
      </c>
      <c r="E2" s="9">
        <f>3*C2+LN(C2)</f>
        <v>3.0843097519337936</v>
      </c>
      <c r="F2" s="9">
        <f>3*D2+LN(D2)</f>
        <v>3.3125144327017466</v>
      </c>
      <c r="H2" s="3" t="s">
        <v>3</v>
      </c>
      <c r="I2" s="3">
        <v>2</v>
      </c>
    </row>
    <row r="3" spans="1:9" x14ac:dyDescent="0.25">
      <c r="A3" s="11">
        <v>1</v>
      </c>
      <c r="B3" s="11">
        <f>B2+$I$4</f>
        <v>1.1000000000000001</v>
      </c>
      <c r="C3" s="9">
        <f>B3+$I$4/2-$I$4/(2*SQRT(3))</f>
        <v>1.1211324865405188</v>
      </c>
      <c r="D3" s="9">
        <f t="shared" ref="D3:D6" si="0">B3+$I$4/2+$I$4/(2*SQRT(3))</f>
        <v>1.1788675134594815</v>
      </c>
      <c r="E3" s="9">
        <f t="shared" ref="E3:E11" si="1">3*C3+LN(C3)</f>
        <v>3.4777367827589534</v>
      </c>
      <c r="F3" s="9">
        <f t="shared" ref="F3:F11" si="2">3*D3+LN(D3)</f>
        <v>3.7011567836597492</v>
      </c>
      <c r="H3" s="4" t="s">
        <v>4</v>
      </c>
      <c r="I3" s="4">
        <v>10</v>
      </c>
    </row>
    <row r="4" spans="1:9" x14ac:dyDescent="0.25">
      <c r="A4" s="11">
        <v>2</v>
      </c>
      <c r="B4" s="11">
        <f t="shared" ref="B4:B6" si="3">B3+$I$4</f>
        <v>1.2000000000000002</v>
      </c>
      <c r="C4" s="9">
        <f t="shared" ref="C3:C11" si="4">B4+$I$4/2-$I$4/(2*SQRT(3))</f>
        <v>1.2211324865405189</v>
      </c>
      <c r="D4" s="9">
        <f t="shared" si="0"/>
        <v>1.2788675134594816</v>
      </c>
      <c r="E4" s="9">
        <f t="shared" si="1"/>
        <v>3.8631761554489019</v>
      </c>
      <c r="F4" s="9">
        <f t="shared" si="2"/>
        <v>4.0825774715733756</v>
      </c>
      <c r="H4" s="5" t="s">
        <v>5</v>
      </c>
      <c r="I4" s="5">
        <f>(I2-I1)/I3</f>
        <v>0.1</v>
      </c>
    </row>
    <row r="5" spans="1:9" x14ac:dyDescent="0.25">
      <c r="A5" s="11">
        <v>3</v>
      </c>
      <c r="B5" s="11">
        <f t="shared" si="3"/>
        <v>1.3000000000000003</v>
      </c>
      <c r="C5" s="9">
        <f t="shared" si="4"/>
        <v>1.321132486540519</v>
      </c>
      <c r="D5" s="9">
        <f t="shared" si="0"/>
        <v>1.3788675134594817</v>
      </c>
      <c r="E5" s="9">
        <f t="shared" si="1"/>
        <v>4.2418867727448282</v>
      </c>
      <c r="F5" s="9">
        <f t="shared" si="2"/>
        <v>4.4578650602155667</v>
      </c>
    </row>
    <row r="6" spans="1:9" x14ac:dyDescent="0.25">
      <c r="A6" s="11">
        <v>4</v>
      </c>
      <c r="B6" s="11">
        <f t="shared" si="3"/>
        <v>1.4000000000000004</v>
      </c>
      <c r="C6" s="9">
        <f t="shared" si="4"/>
        <v>1.421132486540519</v>
      </c>
      <c r="D6" s="9">
        <f t="shared" si="0"/>
        <v>1.4788675134594818</v>
      </c>
      <c r="E6" s="9">
        <f t="shared" si="1"/>
        <v>4.6148515391128262</v>
      </c>
      <c r="F6" s="9">
        <f t="shared" si="2"/>
        <v>4.8278791416359494</v>
      </c>
    </row>
    <row r="7" spans="1:9" x14ac:dyDescent="0.25">
      <c r="A7" s="11">
        <v>5</v>
      </c>
      <c r="B7" s="11">
        <f t="shared" ref="B7:B12" si="5">B6+$I$4</f>
        <v>1.5000000000000004</v>
      </c>
      <c r="C7" s="9">
        <f t="shared" si="4"/>
        <v>1.5211324865405191</v>
      </c>
      <c r="D7" s="9">
        <f t="shared" ref="D7:D11" si="6">B7+$I$4/2+$I$4/(2*SQRT(3))</f>
        <v>1.5788675134594818</v>
      </c>
      <c r="E7" s="9">
        <f t="shared" si="1"/>
        <v>4.9828525739971621</v>
      </c>
      <c r="F7" s="9">
        <f t="shared" si="2"/>
        <v>5.1933103667862168</v>
      </c>
    </row>
    <row r="8" spans="1:9" x14ac:dyDescent="0.25">
      <c r="A8" s="11">
        <v>6</v>
      </c>
      <c r="B8" s="11">
        <f t="shared" si="5"/>
        <v>1.6000000000000005</v>
      </c>
      <c r="C8" s="9">
        <f t="shared" si="4"/>
        <v>1.6211324865405192</v>
      </c>
      <c r="D8" s="9">
        <f t="shared" si="6"/>
        <v>1.6788675134594819</v>
      </c>
      <c r="E8" s="9">
        <f t="shared" si="1"/>
        <v>5.3465224303989469</v>
      </c>
      <c r="F8" s="9">
        <f t="shared" si="2"/>
        <v>5.5547220073553767</v>
      </c>
    </row>
    <row r="9" spans="1:9" x14ac:dyDescent="0.25">
      <c r="A9" s="11">
        <v>7</v>
      </c>
      <c r="B9" s="11">
        <f t="shared" si="5"/>
        <v>1.7000000000000006</v>
      </c>
      <c r="C9" s="9">
        <f t="shared" si="4"/>
        <v>1.7211324865405193</v>
      </c>
      <c r="D9" s="9">
        <f t="shared" si="6"/>
        <v>1.778867513459482</v>
      </c>
      <c r="E9" s="9">
        <f t="shared" si="1"/>
        <v>5.7063799561892647</v>
      </c>
      <c r="F9" s="9">
        <f t="shared" si="2"/>
        <v>5.9125794738097195</v>
      </c>
    </row>
    <row r="10" spans="1:9" x14ac:dyDescent="0.25">
      <c r="A10" s="11">
        <v>8</v>
      </c>
      <c r="B10" s="11">
        <f t="shared" si="5"/>
        <v>1.8000000000000007</v>
      </c>
      <c r="C10" s="9">
        <f t="shared" si="4"/>
        <v>1.8211324865405194</v>
      </c>
      <c r="D10" s="9">
        <f t="shared" si="6"/>
        <v>1.8788675134594821</v>
      </c>
      <c r="E10" s="9">
        <f t="shared" si="1"/>
        <v>6.0628560125478286</v>
      </c>
      <c r="F10" s="9">
        <f t="shared" si="2"/>
        <v>6.2672717492549639</v>
      </c>
    </row>
    <row r="11" spans="1:9" x14ac:dyDescent="0.25">
      <c r="A11" s="11">
        <v>9</v>
      </c>
      <c r="B11" s="11">
        <f t="shared" si="5"/>
        <v>1.9000000000000008</v>
      </c>
      <c r="C11" s="9">
        <f t="shared" si="4"/>
        <v>1.9211324865405195</v>
      </c>
      <c r="D11" s="9">
        <f t="shared" si="6"/>
        <v>1.9788675134594822</v>
      </c>
      <c r="E11" s="9">
        <f t="shared" si="1"/>
        <v>6.4163123085157849</v>
      </c>
      <c r="F11" s="9">
        <f t="shared" si="2"/>
        <v>6.6191272585524619</v>
      </c>
    </row>
    <row r="12" spans="1:9" x14ac:dyDescent="0.25">
      <c r="A12" s="8">
        <v>10</v>
      </c>
      <c r="B12" s="8">
        <f t="shared" si="5"/>
        <v>2.0000000000000009</v>
      </c>
      <c r="C12" s="13" t="s">
        <v>10</v>
      </c>
      <c r="D12" s="14"/>
      <c r="E12" s="12">
        <f>SUM(E2:E11)</f>
        <v>47.796884283648289</v>
      </c>
      <c r="F12" s="12">
        <f>SUM(F2:F11)</f>
        <v>49.929003745545131</v>
      </c>
    </row>
    <row r="13" spans="1:9" x14ac:dyDescent="0.25">
      <c r="D13" s="6" t="s">
        <v>11</v>
      </c>
      <c r="E13" s="10">
        <f>E12+F12</f>
        <v>97.725888029193413</v>
      </c>
    </row>
    <row r="15" spans="1:9" x14ac:dyDescent="0.25">
      <c r="D15" s="7" t="s">
        <v>12</v>
      </c>
      <c r="E15" s="15">
        <f>I4/2*E13</f>
        <v>4.8862944014596712</v>
      </c>
    </row>
  </sheetData>
  <mergeCells count="1"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vlasov vaceslav</cp:lastModifiedBy>
  <dcterms:created xsi:type="dcterms:W3CDTF">2025-11-27T05:52:34Z</dcterms:created>
  <dcterms:modified xsi:type="dcterms:W3CDTF">2025-11-30T19:36:39Z</dcterms:modified>
</cp:coreProperties>
</file>
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2585"/>
  </bookViews>
  <sheets>
    <sheet name="10" sheetId="1" r:id="rId1"/>
    <sheet name="20" sheetId="2" r:id="rId2"/>
  </sheets>
  <calcPr calcId="125725"/>
</workbook>
</file>

<file path=xl/calcChain.xml><?xml version="1.0" encoding="utf-8"?>
<calcChain xmlns="http://schemas.openxmlformats.org/spreadsheetml/2006/main">
  <c r="J8" i="1"/>
  <c r="C2"/>
  <c r="D2"/>
  <c r="E2"/>
  <c r="J2"/>
  <c r="Q19"/>
  <c r="K14" i="2"/>
  <c r="K17" s="1"/>
  <c r="B2"/>
  <c r="K1"/>
  <c r="Q20" i="1"/>
  <c r="Q21"/>
  <c r="Q22"/>
  <c r="Q23"/>
  <c r="Q13"/>
  <c r="K16"/>
  <c r="L16"/>
  <c r="M16"/>
  <c r="N16"/>
  <c r="J16"/>
  <c r="Q17"/>
  <c r="Q16"/>
  <c r="Q15"/>
  <c r="Q14"/>
  <c r="L3"/>
  <c r="L4"/>
  <c r="L5"/>
  <c r="L6"/>
  <c r="L7"/>
  <c r="L8"/>
  <c r="L9"/>
  <c r="L10"/>
  <c r="L11"/>
  <c r="L12"/>
  <c r="L2"/>
  <c r="E3"/>
  <c r="E4"/>
  <c r="E5"/>
  <c r="E6"/>
  <c r="E7"/>
  <c r="E8"/>
  <c r="E9"/>
  <c r="E10"/>
  <c r="E11"/>
  <c r="E12"/>
  <c r="K13"/>
  <c r="L13"/>
  <c r="M13"/>
  <c r="N13"/>
  <c r="J13"/>
  <c r="N3"/>
  <c r="N4"/>
  <c r="N5"/>
  <c r="N6"/>
  <c r="N7"/>
  <c r="N8"/>
  <c r="N9"/>
  <c r="N10"/>
  <c r="N11"/>
  <c r="N12"/>
  <c r="N2"/>
  <c r="M3"/>
  <c r="M4"/>
  <c r="M5"/>
  <c r="M6"/>
  <c r="M7"/>
  <c r="M8"/>
  <c r="M9"/>
  <c r="M10"/>
  <c r="M11"/>
  <c r="M12"/>
  <c r="M2"/>
  <c r="K3"/>
  <c r="K4"/>
  <c r="K5"/>
  <c r="K6"/>
  <c r="K7"/>
  <c r="K8"/>
  <c r="K9"/>
  <c r="K10"/>
  <c r="K11"/>
  <c r="K12"/>
  <c r="K2"/>
  <c r="J3"/>
  <c r="J4"/>
  <c r="J5"/>
  <c r="J6"/>
  <c r="J7"/>
  <c r="J9"/>
  <c r="J10"/>
  <c r="J11"/>
  <c r="J12"/>
  <c r="C3"/>
  <c r="C4"/>
  <c r="C5"/>
  <c r="C6"/>
  <c r="C7"/>
  <c r="C8"/>
  <c r="C9"/>
  <c r="C10"/>
  <c r="C11"/>
  <c r="C12"/>
  <c r="D3"/>
  <c r="D4"/>
  <c r="D5"/>
  <c r="D6"/>
  <c r="D7"/>
  <c r="D8"/>
  <c r="D9"/>
  <c r="D10"/>
  <c r="D11"/>
  <c r="D12"/>
  <c r="B4"/>
  <c r="B5" s="1"/>
  <c r="B6" s="1"/>
  <c r="B7" s="1"/>
  <c r="B8" s="1"/>
  <c r="B9" s="1"/>
  <c r="B10" s="1"/>
  <c r="B11" s="1"/>
  <c r="B12" s="1"/>
  <c r="B3"/>
  <c r="B2"/>
  <c r="Q1"/>
  <c r="B3" i="2" l="1"/>
  <c r="D3" s="1"/>
  <c r="B4"/>
  <c r="D4" s="1"/>
  <c r="D2"/>
  <c r="C2"/>
  <c r="H3" l="1"/>
  <c r="G3"/>
  <c r="H4"/>
  <c r="G4"/>
  <c r="C3"/>
  <c r="B5"/>
  <c r="D5" s="1"/>
  <c r="C4"/>
  <c r="H2"/>
  <c r="G2"/>
  <c r="H5" l="1"/>
  <c r="G5"/>
  <c r="B6"/>
  <c r="D6" s="1"/>
  <c r="C5"/>
  <c r="H6" l="1"/>
  <c r="G6"/>
  <c r="B7"/>
  <c r="D7" s="1"/>
  <c r="C6"/>
  <c r="H7" l="1"/>
  <c r="G7"/>
  <c r="B8"/>
  <c r="D8" s="1"/>
  <c r="C7"/>
  <c r="H8" l="1"/>
  <c r="G8"/>
  <c r="B9"/>
  <c r="D9" s="1"/>
  <c r="C8"/>
  <c r="H9" l="1"/>
  <c r="G9"/>
  <c r="B10"/>
  <c r="D10" s="1"/>
  <c r="C9"/>
  <c r="H10" l="1"/>
  <c r="G10"/>
  <c r="B11"/>
  <c r="D11" s="1"/>
  <c r="C10"/>
  <c r="H11" l="1"/>
  <c r="G11"/>
  <c r="B12"/>
  <c r="D12" s="1"/>
  <c r="C11"/>
  <c r="H12" l="1"/>
  <c r="G12"/>
  <c r="B13"/>
  <c r="D13" s="1"/>
  <c r="C12"/>
  <c r="H13" l="1"/>
  <c r="G13"/>
  <c r="B14"/>
  <c r="D14" s="1"/>
  <c r="C13"/>
  <c r="H14" l="1"/>
  <c r="G14"/>
  <c r="B15"/>
  <c r="D15" s="1"/>
  <c r="C14"/>
  <c r="H15" l="1"/>
  <c r="G15"/>
  <c r="B16"/>
  <c r="D16" s="1"/>
  <c r="C15"/>
  <c r="H16" l="1"/>
  <c r="G16"/>
  <c r="B17"/>
  <c r="D17" s="1"/>
  <c r="C16"/>
  <c r="H17" l="1"/>
  <c r="G17"/>
  <c r="B18"/>
  <c r="D18" s="1"/>
  <c r="C17"/>
  <c r="H18" l="1"/>
  <c r="G18"/>
  <c r="B19"/>
  <c r="D19" s="1"/>
  <c r="C18"/>
  <c r="H19" l="1"/>
  <c r="G19"/>
  <c r="B20"/>
  <c r="D20" s="1"/>
  <c r="C19"/>
  <c r="H20" l="1"/>
  <c r="G20"/>
  <c r="B21"/>
  <c r="D21" s="1"/>
  <c r="C20"/>
  <c r="H21" l="1"/>
  <c r="G21"/>
  <c r="B22"/>
  <c r="C21"/>
  <c r="C22" l="1"/>
  <c r="D22"/>
  <c r="H22" l="1"/>
  <c r="H23" s="1"/>
  <c r="H26" s="1"/>
  <c r="G22"/>
  <c r="G23" s="1"/>
  <c r="G26" s="1"/>
  <c r="K13" s="1"/>
  <c r="K16" s="1"/>
</calcChain>
</file>

<file path=xl/sharedStrings.xml><?xml version="1.0" encoding="utf-8"?>
<sst xmlns="http://schemas.openxmlformats.org/spreadsheetml/2006/main" count="55" uniqueCount="36">
  <si>
    <t>i</t>
  </si>
  <si>
    <t>xi</t>
  </si>
  <si>
    <t>xicp</t>
  </si>
  <si>
    <t>yi</t>
  </si>
  <si>
    <t>yicp</t>
  </si>
  <si>
    <t>ciл</t>
  </si>
  <si>
    <t>ciпр</t>
  </si>
  <si>
    <t>ciтр</t>
  </si>
  <si>
    <t>ciпараб</t>
  </si>
  <si>
    <t>c*y лев</t>
  </si>
  <si>
    <t xml:space="preserve">c*y прав </t>
  </si>
  <si>
    <t>c*y сред</t>
  </si>
  <si>
    <t>c*y трап</t>
  </si>
  <si>
    <t>c*y параб</t>
  </si>
  <si>
    <t>h=</t>
  </si>
  <si>
    <t>a=</t>
  </si>
  <si>
    <t>b=</t>
  </si>
  <si>
    <t>n=</t>
  </si>
  <si>
    <t>точн=</t>
  </si>
  <si>
    <t>суммы</t>
  </si>
  <si>
    <t>I лев</t>
  </si>
  <si>
    <t>I пр</t>
  </si>
  <si>
    <t>I cред</t>
  </si>
  <si>
    <t>I трап</t>
  </si>
  <si>
    <t>I параб</t>
  </si>
  <si>
    <r>
      <rPr>
        <sz val="11"/>
        <color theme="1"/>
        <rFont val="Calibri"/>
        <family val="2"/>
        <charset val="204"/>
      </rPr>
      <t>Δ</t>
    </r>
    <r>
      <rPr>
        <sz val="11"/>
        <color theme="1"/>
        <rFont val="Calibri"/>
        <family val="2"/>
        <charset val="204"/>
        <scheme val="minor"/>
      </rPr>
      <t>л=</t>
    </r>
  </si>
  <si>
    <t>Δп=</t>
  </si>
  <si>
    <t>Δс=</t>
  </si>
  <si>
    <t>Δтр=</t>
  </si>
  <si>
    <t>Δпар=</t>
  </si>
  <si>
    <r>
      <t>ε</t>
    </r>
    <r>
      <rPr>
        <vertAlign val="subscript"/>
        <sz val="11"/>
        <color theme="1"/>
        <rFont val="Calibri"/>
        <family val="2"/>
        <charset val="204"/>
      </rPr>
      <t xml:space="preserve">п </t>
    </r>
    <r>
      <rPr>
        <sz val="11"/>
        <color theme="1"/>
        <rFont val="Calibri"/>
        <family val="2"/>
        <charset val="204"/>
      </rPr>
      <t>=</t>
    </r>
  </si>
  <si>
    <r>
      <t>ε</t>
    </r>
    <r>
      <rPr>
        <vertAlign val="subscript"/>
        <sz val="11"/>
        <color theme="1"/>
        <rFont val="Calibri"/>
        <family val="2"/>
        <charset val="204"/>
        <scheme val="minor"/>
      </rPr>
      <t>п</t>
    </r>
    <r>
      <rPr>
        <sz val="11"/>
        <color theme="1"/>
        <rFont val="Calibri"/>
        <family val="2"/>
        <charset val="204"/>
        <scheme val="minor"/>
      </rPr>
      <t xml:space="preserve"> =</t>
    </r>
  </si>
  <si>
    <r>
      <t>ε</t>
    </r>
    <r>
      <rPr>
        <vertAlign val="subscript"/>
        <sz val="11"/>
        <color theme="1"/>
        <rFont val="Calibri"/>
        <family val="2"/>
        <charset val="204"/>
        <scheme val="minor"/>
      </rPr>
      <t>пар</t>
    </r>
    <r>
      <rPr>
        <sz val="11"/>
        <color theme="1"/>
        <rFont val="Calibri"/>
        <family val="2"/>
        <charset val="204"/>
        <scheme val="minor"/>
      </rPr>
      <t>=</t>
    </r>
  </si>
  <si>
    <r>
      <t>ε</t>
    </r>
    <r>
      <rPr>
        <vertAlign val="subscript"/>
        <sz val="11"/>
        <color theme="1"/>
        <rFont val="Calibri"/>
        <family val="2"/>
        <charset val="204"/>
        <scheme val="minor"/>
      </rPr>
      <t>тр</t>
    </r>
    <r>
      <rPr>
        <sz val="11"/>
        <color theme="1"/>
        <rFont val="Calibri"/>
        <family val="2"/>
        <charset val="204"/>
        <scheme val="minor"/>
      </rPr>
      <t>=</t>
    </r>
  </si>
  <si>
    <r>
      <t>ε</t>
    </r>
    <r>
      <rPr>
        <vertAlign val="subscript"/>
        <sz val="11"/>
        <color theme="1"/>
        <rFont val="Calibri"/>
        <family val="2"/>
        <charset val="204"/>
        <scheme val="minor"/>
      </rPr>
      <t>с</t>
    </r>
    <r>
      <rPr>
        <sz val="11"/>
        <color theme="1"/>
        <rFont val="Calibri"/>
        <family val="2"/>
        <charset val="204"/>
        <scheme val="minor"/>
      </rPr>
      <t>=</t>
    </r>
  </si>
  <si>
    <t>сумма</t>
  </si>
</sst>
</file>

<file path=xl/styles.xml><?xml version="1.0" encoding="utf-8"?>
<styleSheet xmlns="http://schemas.openxmlformats.org/spreadsheetml/2006/main">
  <numFmts count="8">
    <numFmt numFmtId="43" formatCode="_-* #,##0.00\ _₽_-;\-* #,##0.00\ _₽_-;_-* &quot;-&quot;??\ _₽_-;_-@_-"/>
    <numFmt numFmtId="165" formatCode="_-* #,##0.000\ _₽_-;\-* #,##0.000\ _₽_-;_-* &quot;-&quot;??\ _₽_-;_-@_-"/>
    <numFmt numFmtId="167" formatCode="_-* #,##0.000\ _₽_-;\-* #,##0.000\ _₽_-;_-* &quot;-&quot;???\ _₽_-;_-@_-"/>
    <numFmt numFmtId="169" formatCode="0.000"/>
    <numFmt numFmtId="179" formatCode="0.000000"/>
    <numFmt numFmtId="183" formatCode="0.00000%"/>
    <numFmt numFmtId="184" formatCode="0.0000000"/>
    <numFmt numFmtId="194" formatCode="0.000000%"/>
  </numFmts>
  <fonts count="5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vertAlign val="subscript"/>
      <sz val="11"/>
      <color theme="1"/>
      <name val="Calibri"/>
      <family val="2"/>
      <charset val="204"/>
    </font>
    <font>
      <vertAlign val="subscript"/>
      <sz val="11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12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0" fontId="0" fillId="3" borderId="1" xfId="0" applyFill="1" applyBorder="1"/>
    <xf numFmtId="169" fontId="0" fillId="0" borderId="1" xfId="0" applyNumberFormat="1" applyBorder="1" applyAlignment="1">
      <alignment horizontal="center" vertical="center"/>
    </xf>
    <xf numFmtId="169" fontId="0" fillId="5" borderId="1" xfId="0" applyNumberFormat="1" applyFill="1" applyBorder="1"/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179" fontId="0" fillId="5" borderId="1" xfId="0" applyNumberFormat="1" applyFill="1" applyBorder="1" applyAlignment="1">
      <alignment horizontal="left"/>
    </xf>
    <xf numFmtId="179" fontId="0" fillId="7" borderId="1" xfId="0" applyNumberForma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3" borderId="1" xfId="0" applyFill="1" applyBorder="1" applyAlignment="1">
      <alignment horizontal="left"/>
    </xf>
    <xf numFmtId="183" fontId="0" fillId="0" borderId="1" xfId="2" applyNumberFormat="1" applyFont="1" applyBorder="1"/>
    <xf numFmtId="0" fontId="2" fillId="8" borderId="1" xfId="0" applyFont="1" applyFill="1" applyBorder="1" applyAlignment="1">
      <alignment horizontal="right"/>
    </xf>
    <xf numFmtId="183" fontId="0" fillId="8" borderId="1" xfId="2" applyNumberFormat="1" applyFont="1" applyFill="1" applyBorder="1"/>
    <xf numFmtId="0" fontId="0" fillId="8" borderId="1" xfId="0" applyFill="1" applyBorder="1" applyAlignment="1">
      <alignment horizontal="right"/>
    </xf>
    <xf numFmtId="169" fontId="0" fillId="0" borderId="2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4" borderId="1" xfId="0" applyFill="1" applyBorder="1"/>
    <xf numFmtId="0" fontId="0" fillId="9" borderId="1" xfId="0" applyFill="1" applyBorder="1" applyAlignment="1">
      <alignment horizontal="center"/>
    </xf>
    <xf numFmtId="169" fontId="0" fillId="8" borderId="1" xfId="0" applyNumberFormat="1" applyFill="1" applyBorder="1" applyAlignment="1">
      <alignment horizontal="center"/>
    </xf>
    <xf numFmtId="184" fontId="0" fillId="5" borderId="1" xfId="0" applyNumberFormat="1" applyFill="1" applyBorder="1" applyAlignment="1">
      <alignment horizontal="left"/>
    </xf>
    <xf numFmtId="194" fontId="0" fillId="8" borderId="1" xfId="2" applyNumberFormat="1" applyFont="1" applyFill="1" applyBorder="1" applyAlignment="1">
      <alignment horizontal="left"/>
    </xf>
    <xf numFmtId="184" fontId="0" fillId="9" borderId="1" xfId="0" applyNumberFormat="1" applyFill="1" applyBorder="1" applyAlignment="1">
      <alignment horizontal="center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231322</xdr:colOff>
      <xdr:row>5</xdr:row>
      <xdr:rowOff>167368</xdr:rowOff>
    </xdr:from>
    <xdr:to>
      <xdr:col>19</xdr:col>
      <xdr:colOff>362910</xdr:colOff>
      <xdr:row>9</xdr:row>
      <xdr:rowOff>14968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47793" y="1119868"/>
          <a:ext cx="3181989" cy="6096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163286</xdr:colOff>
      <xdr:row>5</xdr:row>
      <xdr:rowOff>0</xdr:rowOff>
    </xdr:from>
    <xdr:to>
      <xdr:col>12</xdr:col>
      <xdr:colOff>226838</xdr:colOff>
      <xdr:row>7</xdr:row>
      <xdr:rowOff>228600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61857" y="952500"/>
          <a:ext cx="3220410" cy="6096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3"/>
  <sheetViews>
    <sheetView tabSelected="1" topLeftCell="B1" zoomScale="85" zoomScaleNormal="85" workbookViewId="0">
      <selection activeCell="H28" sqref="H28"/>
    </sheetView>
  </sheetViews>
  <sheetFormatPr defaultRowHeight="15"/>
  <cols>
    <col min="9" max="9" width="9.7109375" bestFit="1" customWidth="1"/>
    <col min="17" max="17" width="9.5703125" bestFit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6" t="s">
        <v>14</v>
      </c>
      <c r="Q1" s="16">
        <f>(Q3-Q2)/Q4</f>
        <v>0.14000000000000001</v>
      </c>
    </row>
    <row r="2" spans="1:17">
      <c r="A2" s="2">
        <v>0</v>
      </c>
      <c r="B2" s="3">
        <f>Q2</f>
        <v>0.7</v>
      </c>
      <c r="C2" s="5">
        <f>B2+($Q$1/2)</f>
        <v>0.77</v>
      </c>
      <c r="D2" s="5">
        <f>(SQRT(0.6 * B2 + 1.5))/(2*B2+ SQRT(B2*B2 + 3))</f>
        <v>0.42398264411830544</v>
      </c>
      <c r="E2" s="5">
        <f>(SQRT(0.6 * C2 + 1.5))/(2*C2+ SQRT(C2*C2 + 3))</f>
        <v>0.40771831799216535</v>
      </c>
      <c r="F2" s="2">
        <v>1</v>
      </c>
      <c r="G2" s="2">
        <v>0</v>
      </c>
      <c r="H2" s="2">
        <v>0.5</v>
      </c>
      <c r="I2" s="4">
        <v>0.33333333333333331</v>
      </c>
      <c r="J2" s="9">
        <f>F2*D2</f>
        <v>0.42398264411830544</v>
      </c>
      <c r="K2" s="9">
        <f>D2*G2</f>
        <v>0</v>
      </c>
      <c r="L2" s="9">
        <f>E2*F2</f>
        <v>0.40771831799216535</v>
      </c>
      <c r="M2" s="9">
        <f>D2*H2</f>
        <v>0.21199132205915272</v>
      </c>
      <c r="N2" s="9">
        <f>D2*I2</f>
        <v>0.14132754803943515</v>
      </c>
      <c r="P2" s="6" t="s">
        <v>15</v>
      </c>
      <c r="Q2" s="16">
        <v>0.7</v>
      </c>
    </row>
    <row r="3" spans="1:17">
      <c r="A3" s="2">
        <v>1</v>
      </c>
      <c r="B3" s="3">
        <f>B2+$Q$1</f>
        <v>0.84</v>
      </c>
      <c r="C3" s="5">
        <f t="shared" ref="C3:C12" si="0">B3+($Q$1/2)</f>
        <v>0.90999999999999992</v>
      </c>
      <c r="D3" s="5">
        <f t="shared" ref="D3:D12" si="1">(SQRT(0.6 * B3 + 1.5))/(2*B3+ SQRT(B3*B3 + 3))</f>
        <v>0.39268505393679881</v>
      </c>
      <c r="E3" s="5">
        <f t="shared" ref="E3:E12" si="2">(SQRT(0.6 * C3 + 1.5))/(2*C3+ SQRT(C3*C3 + 3))</f>
        <v>0.37875399312690256</v>
      </c>
      <c r="F3" s="2">
        <v>1</v>
      </c>
      <c r="G3" s="2">
        <v>1</v>
      </c>
      <c r="H3" s="2">
        <v>1</v>
      </c>
      <c r="I3" s="4">
        <v>1.3333333333333333</v>
      </c>
      <c r="J3" s="9">
        <f t="shared" ref="J3:J12" si="3">F3*D3</f>
        <v>0.39268505393679881</v>
      </c>
      <c r="K3" s="9">
        <f t="shared" ref="K3:K12" si="4">D3*G3</f>
        <v>0.39268505393679881</v>
      </c>
      <c r="L3" s="9">
        <f t="shared" ref="L3:L12" si="5">E3*F3</f>
        <v>0.37875399312690256</v>
      </c>
      <c r="M3" s="9">
        <f t="shared" ref="M3:M12" si="6">D3*H3</f>
        <v>0.39268505393679881</v>
      </c>
      <c r="N3" s="9">
        <f t="shared" ref="N3:N12" si="7">D3*I3</f>
        <v>0.52358007191573175</v>
      </c>
      <c r="P3" s="6" t="s">
        <v>16</v>
      </c>
      <c r="Q3" s="16">
        <v>2.1</v>
      </c>
    </row>
    <row r="4" spans="1:17">
      <c r="A4" s="2">
        <v>2</v>
      </c>
      <c r="B4" s="3">
        <f t="shared" ref="B4:B12" si="8">B3+$Q$1</f>
        <v>0.98</v>
      </c>
      <c r="C4" s="5">
        <f t="shared" si="0"/>
        <v>1.05</v>
      </c>
      <c r="D4" s="5">
        <f t="shared" si="1"/>
        <v>0.36581361419917918</v>
      </c>
      <c r="E4" s="5">
        <f t="shared" si="2"/>
        <v>0.35376683386881413</v>
      </c>
      <c r="F4" s="2">
        <v>1</v>
      </c>
      <c r="G4" s="2">
        <v>1</v>
      </c>
      <c r="H4" s="2">
        <v>1</v>
      </c>
      <c r="I4" s="4">
        <v>0.66666666666666663</v>
      </c>
      <c r="J4" s="9">
        <f t="shared" si="3"/>
        <v>0.36581361419917918</v>
      </c>
      <c r="K4" s="9">
        <f t="shared" si="4"/>
        <v>0.36581361419917918</v>
      </c>
      <c r="L4" s="9">
        <f t="shared" si="5"/>
        <v>0.35376683386881413</v>
      </c>
      <c r="M4" s="9">
        <f t="shared" si="6"/>
        <v>0.36581361419917918</v>
      </c>
      <c r="N4" s="9">
        <f t="shared" si="7"/>
        <v>0.24387574279945279</v>
      </c>
      <c r="P4" s="6" t="s">
        <v>17</v>
      </c>
      <c r="Q4" s="16">
        <v>10</v>
      </c>
    </row>
    <row r="5" spans="1:17">
      <c r="A5" s="2">
        <v>3</v>
      </c>
      <c r="B5" s="3">
        <f t="shared" si="8"/>
        <v>1.1200000000000001</v>
      </c>
      <c r="C5" s="5">
        <f t="shared" si="0"/>
        <v>1.1900000000000002</v>
      </c>
      <c r="D5" s="5">
        <f t="shared" si="1"/>
        <v>0.34252868697246114</v>
      </c>
      <c r="E5" s="5">
        <f t="shared" si="2"/>
        <v>0.33202445374219919</v>
      </c>
      <c r="F5" s="2">
        <v>1</v>
      </c>
      <c r="G5" s="2">
        <v>1</v>
      </c>
      <c r="H5" s="2">
        <v>1</v>
      </c>
      <c r="I5" s="4">
        <v>1.3333333333333333</v>
      </c>
      <c r="J5" s="9">
        <f t="shared" si="3"/>
        <v>0.34252868697246114</v>
      </c>
      <c r="K5" s="9">
        <f t="shared" si="4"/>
        <v>0.34252868697246114</v>
      </c>
      <c r="L5" s="9">
        <f t="shared" si="5"/>
        <v>0.33202445374219919</v>
      </c>
      <c r="M5" s="9">
        <f t="shared" si="6"/>
        <v>0.34252868697246114</v>
      </c>
      <c r="N5" s="9">
        <f t="shared" si="7"/>
        <v>0.4567049159632815</v>
      </c>
      <c r="Q5" s="17"/>
    </row>
    <row r="6" spans="1:17">
      <c r="A6" s="2">
        <v>4</v>
      </c>
      <c r="B6" s="3">
        <f t="shared" si="8"/>
        <v>1.2600000000000002</v>
      </c>
      <c r="C6" s="5">
        <f t="shared" si="0"/>
        <v>1.3300000000000003</v>
      </c>
      <c r="D6" s="5">
        <f t="shared" si="1"/>
        <v>0.32218813527894996</v>
      </c>
      <c r="E6" s="5">
        <f t="shared" si="2"/>
        <v>0.31296120240519143</v>
      </c>
      <c r="F6" s="2">
        <v>1</v>
      </c>
      <c r="G6" s="2">
        <v>1</v>
      </c>
      <c r="H6" s="2">
        <v>1</v>
      </c>
      <c r="I6" s="4">
        <v>0.66666666666666663</v>
      </c>
      <c r="J6" s="9">
        <f t="shared" si="3"/>
        <v>0.32218813527894996</v>
      </c>
      <c r="K6" s="9">
        <f t="shared" si="4"/>
        <v>0.32218813527894996</v>
      </c>
      <c r="L6" s="9">
        <f t="shared" si="5"/>
        <v>0.31296120240519143</v>
      </c>
      <c r="M6" s="9">
        <f t="shared" si="6"/>
        <v>0.32218813527894996</v>
      </c>
      <c r="N6" s="9">
        <f t="shared" si="7"/>
        <v>0.21479209018596662</v>
      </c>
    </row>
    <row r="7" spans="1:17">
      <c r="A7" s="2">
        <v>5</v>
      </c>
      <c r="B7" s="3">
        <f t="shared" si="8"/>
        <v>1.4000000000000004</v>
      </c>
      <c r="C7" s="5">
        <f t="shared" si="0"/>
        <v>1.4700000000000004</v>
      </c>
      <c r="D7" s="5">
        <f t="shared" si="1"/>
        <v>0.30429156091636306</v>
      </c>
      <c r="E7" s="5">
        <f t="shared" si="2"/>
        <v>0.29613268950436994</v>
      </c>
      <c r="F7" s="2">
        <v>1</v>
      </c>
      <c r="G7" s="2">
        <v>1</v>
      </c>
      <c r="H7" s="2">
        <v>1</v>
      </c>
      <c r="I7" s="4">
        <v>1.3333333333333333</v>
      </c>
      <c r="J7" s="9">
        <f t="shared" si="3"/>
        <v>0.30429156091636306</v>
      </c>
      <c r="K7" s="9">
        <f t="shared" si="4"/>
        <v>0.30429156091636306</v>
      </c>
      <c r="L7" s="9">
        <f t="shared" si="5"/>
        <v>0.29613268950436994</v>
      </c>
      <c r="M7" s="9">
        <f t="shared" si="6"/>
        <v>0.30429156091636306</v>
      </c>
      <c r="N7" s="9">
        <f t="shared" si="7"/>
        <v>0.40572208122181741</v>
      </c>
    </row>
    <row r="8" spans="1:17">
      <c r="A8" s="2">
        <v>6</v>
      </c>
      <c r="B8" s="3">
        <f t="shared" si="8"/>
        <v>1.5400000000000005</v>
      </c>
      <c r="C8" s="5">
        <f t="shared" si="0"/>
        <v>1.6100000000000005</v>
      </c>
      <c r="D8" s="5">
        <f t="shared" si="1"/>
        <v>0.28844291654818127</v>
      </c>
      <c r="E8" s="5">
        <f t="shared" si="2"/>
        <v>0.28118480944553487</v>
      </c>
      <c r="F8" s="2">
        <v>1</v>
      </c>
      <c r="G8" s="2">
        <v>1</v>
      </c>
      <c r="H8" s="2">
        <v>1</v>
      </c>
      <c r="I8" s="4">
        <v>0.66666666666666663</v>
      </c>
      <c r="J8" s="9">
        <f>F8*D8</f>
        <v>0.28844291654818127</v>
      </c>
      <c r="K8" s="9">
        <f t="shared" si="4"/>
        <v>0.28844291654818127</v>
      </c>
      <c r="L8" s="9">
        <f t="shared" si="5"/>
        <v>0.28118480944553487</v>
      </c>
      <c r="M8" s="9">
        <f t="shared" si="6"/>
        <v>0.28844291654818127</v>
      </c>
      <c r="N8" s="9">
        <f t="shared" si="7"/>
        <v>0.19229527769878751</v>
      </c>
    </row>
    <row r="9" spans="1:17">
      <c r="A9" s="2">
        <v>7</v>
      </c>
      <c r="B9" s="3">
        <f t="shared" si="8"/>
        <v>1.6800000000000006</v>
      </c>
      <c r="C9" s="5">
        <f t="shared" si="0"/>
        <v>1.7500000000000007</v>
      </c>
      <c r="D9" s="5">
        <f t="shared" si="1"/>
        <v>0.27432465583489879</v>
      </c>
      <c r="E9" s="5">
        <f t="shared" si="2"/>
        <v>0.26783202039082432</v>
      </c>
      <c r="F9" s="2">
        <v>1</v>
      </c>
      <c r="G9" s="2">
        <v>1</v>
      </c>
      <c r="H9" s="2">
        <v>1</v>
      </c>
      <c r="I9" s="4">
        <v>1.3333333333333333</v>
      </c>
      <c r="J9" s="9">
        <f t="shared" si="3"/>
        <v>0.27432465583489879</v>
      </c>
      <c r="K9" s="9">
        <f t="shared" si="4"/>
        <v>0.27432465583489879</v>
      </c>
      <c r="L9" s="9">
        <f t="shared" si="5"/>
        <v>0.26783202039082432</v>
      </c>
      <c r="M9" s="9">
        <f t="shared" si="6"/>
        <v>0.27432465583489879</v>
      </c>
      <c r="N9" s="9">
        <f t="shared" si="7"/>
        <v>0.36576620777986502</v>
      </c>
    </row>
    <row r="10" spans="1:17">
      <c r="A10" s="2">
        <v>8</v>
      </c>
      <c r="B10" s="3">
        <f t="shared" si="8"/>
        <v>1.8200000000000007</v>
      </c>
      <c r="C10" s="5">
        <f t="shared" si="0"/>
        <v>1.8900000000000008</v>
      </c>
      <c r="D10" s="5">
        <f t="shared" si="1"/>
        <v>0.26167936420657623</v>
      </c>
      <c r="E10" s="5">
        <f t="shared" si="2"/>
        <v>0.25584171635395403</v>
      </c>
      <c r="F10" s="2">
        <v>1</v>
      </c>
      <c r="G10" s="2">
        <v>1</v>
      </c>
      <c r="H10" s="2">
        <v>1</v>
      </c>
      <c r="I10" s="4">
        <v>0.66666666666666663</v>
      </c>
      <c r="J10" s="9">
        <f t="shared" si="3"/>
        <v>0.26167936420657623</v>
      </c>
      <c r="K10" s="9">
        <f t="shared" si="4"/>
        <v>0.26167936420657623</v>
      </c>
      <c r="L10" s="9">
        <f t="shared" si="5"/>
        <v>0.25584171635395403</v>
      </c>
      <c r="M10" s="9">
        <f t="shared" si="6"/>
        <v>0.26167936420657623</v>
      </c>
      <c r="N10" s="9">
        <f t="shared" si="7"/>
        <v>0.1744529094710508</v>
      </c>
      <c r="P10" s="7" t="s">
        <v>18</v>
      </c>
      <c r="Q10" s="18">
        <v>0.43851000000000001</v>
      </c>
    </row>
    <row r="11" spans="1:17">
      <c r="A11" s="2">
        <v>9</v>
      </c>
      <c r="B11" s="3">
        <f t="shared" si="8"/>
        <v>1.9600000000000009</v>
      </c>
      <c r="C11" s="5">
        <f t="shared" si="0"/>
        <v>2.0300000000000007</v>
      </c>
      <c r="D11" s="5">
        <f t="shared" si="1"/>
        <v>0.2502963892153714</v>
      </c>
      <c r="E11" s="5">
        <f t="shared" si="2"/>
        <v>0.24502273075427602</v>
      </c>
      <c r="F11" s="2">
        <v>1</v>
      </c>
      <c r="G11" s="2">
        <v>1</v>
      </c>
      <c r="H11" s="2">
        <v>1</v>
      </c>
      <c r="I11" s="4">
        <v>1.3333333333333333</v>
      </c>
      <c r="J11" s="9">
        <f t="shared" si="3"/>
        <v>0.2502963892153714</v>
      </c>
      <c r="K11" s="9">
        <f t="shared" si="4"/>
        <v>0.2502963892153714</v>
      </c>
      <c r="L11" s="9">
        <f t="shared" si="5"/>
        <v>0.24502273075427602</v>
      </c>
      <c r="M11" s="9">
        <f t="shared" si="6"/>
        <v>0.2502963892153714</v>
      </c>
      <c r="N11" s="9">
        <f t="shared" si="7"/>
        <v>0.33372851895382849</v>
      </c>
    </row>
    <row r="12" spans="1:17">
      <c r="A12" s="2">
        <v>10</v>
      </c>
      <c r="B12" s="3">
        <f t="shared" si="8"/>
        <v>2.100000000000001</v>
      </c>
      <c r="C12" s="5">
        <f t="shared" si="0"/>
        <v>2.1700000000000008</v>
      </c>
      <c r="D12" s="5">
        <f t="shared" si="1"/>
        <v>0.2400019081290789</v>
      </c>
      <c r="E12" s="5">
        <f t="shared" si="2"/>
        <v>0.23521671803964642</v>
      </c>
      <c r="F12" s="2">
        <v>0</v>
      </c>
      <c r="G12" s="2">
        <v>1</v>
      </c>
      <c r="H12" s="2">
        <v>0.5</v>
      </c>
      <c r="I12" s="4">
        <v>0.33333333333333331</v>
      </c>
      <c r="J12" s="9">
        <f t="shared" si="3"/>
        <v>0</v>
      </c>
      <c r="K12" s="9">
        <f t="shared" si="4"/>
        <v>0.2400019081290789</v>
      </c>
      <c r="L12" s="9">
        <f t="shared" si="5"/>
        <v>0</v>
      </c>
      <c r="M12" s="9">
        <f t="shared" si="6"/>
        <v>0.12000095406453945</v>
      </c>
      <c r="N12" s="9">
        <f t="shared" si="7"/>
        <v>8.0000636043026291E-2</v>
      </c>
    </row>
    <row r="13" spans="1:17">
      <c r="I13" s="8" t="s">
        <v>19</v>
      </c>
      <c r="J13" s="10">
        <f>SUM(J2:J12)</f>
        <v>3.2262330212270856</v>
      </c>
      <c r="K13" s="10">
        <f t="shared" ref="K13:N13" si="9">SUM(K2:K12)</f>
        <v>3.0422522852378586</v>
      </c>
      <c r="L13" s="10">
        <f t="shared" si="9"/>
        <v>3.1312387675842319</v>
      </c>
      <c r="M13" s="10">
        <f t="shared" si="9"/>
        <v>3.1342426532324721</v>
      </c>
      <c r="N13" s="10">
        <f t="shared" si="9"/>
        <v>3.1322460000722439</v>
      </c>
      <c r="P13" s="12" t="s">
        <v>25</v>
      </c>
      <c r="Q13" s="14">
        <f>ABS($Q$10-J16)</f>
        <v>1.3162622971791993E-2</v>
      </c>
    </row>
    <row r="14" spans="1:17">
      <c r="P14" s="13" t="s">
        <v>26</v>
      </c>
      <c r="Q14" s="15">
        <f>ABS($Q$10-K16)</f>
        <v>1.2594680066699782E-2</v>
      </c>
    </row>
    <row r="15" spans="1:17">
      <c r="J15" s="11" t="s">
        <v>20</v>
      </c>
      <c r="K15" s="11" t="s">
        <v>21</v>
      </c>
      <c r="L15" s="11" t="s">
        <v>22</v>
      </c>
      <c r="M15" s="11" t="s">
        <v>23</v>
      </c>
      <c r="N15" s="11" t="s">
        <v>24</v>
      </c>
      <c r="P15" s="12" t="s">
        <v>27</v>
      </c>
      <c r="Q15" s="14">
        <f>ABS($Q$10-L16)</f>
        <v>1.3657253820748005E-4</v>
      </c>
    </row>
    <row r="16" spans="1:17">
      <c r="J16" s="11">
        <f>J13*$Q$1</f>
        <v>0.451672622971792</v>
      </c>
      <c r="K16" s="11">
        <f t="shared" ref="K16:N16" si="10">K13*$Q$1</f>
        <v>0.42591531993330023</v>
      </c>
      <c r="L16" s="11">
        <f t="shared" si="10"/>
        <v>0.43837342746179253</v>
      </c>
      <c r="M16" s="11">
        <f t="shared" si="10"/>
        <v>0.43879397145254612</v>
      </c>
      <c r="N16" s="11">
        <f t="shared" si="10"/>
        <v>0.43851444001011419</v>
      </c>
      <c r="P16" s="13" t="s">
        <v>28</v>
      </c>
      <c r="Q16" s="15">
        <f>ABS($Q$10-M16)</f>
        <v>2.8397145254610567E-4</v>
      </c>
    </row>
    <row r="17" spans="16:17">
      <c r="P17" s="12" t="s">
        <v>29</v>
      </c>
      <c r="Q17" s="14">
        <f>ABS($Q$10-N16)</f>
        <v>4.4400101141817139E-6</v>
      </c>
    </row>
    <row r="19" spans="16:17" ht="18">
      <c r="P19" s="20" t="s">
        <v>30</v>
      </c>
      <c r="Q19" s="21">
        <f>Q13/$Q$10</f>
        <v>3.0016699668860444E-2</v>
      </c>
    </row>
    <row r="20" spans="16:17" ht="18">
      <c r="P20" s="13" t="s">
        <v>31</v>
      </c>
      <c r="Q20" s="19">
        <f t="shared" ref="Q20:Q23" si="11">Q14/$Q$10</f>
        <v>2.8721534438666808E-2</v>
      </c>
    </row>
    <row r="21" spans="16:17" ht="18">
      <c r="P21" s="22" t="s">
        <v>34</v>
      </c>
      <c r="Q21" s="21">
        <f t="shared" si="11"/>
        <v>3.114468044228867E-4</v>
      </c>
    </row>
    <row r="22" spans="16:17" ht="18">
      <c r="P22" s="13" t="s">
        <v>33</v>
      </c>
      <c r="Q22" s="19">
        <f t="shared" si="11"/>
        <v>6.4758261509681805E-4</v>
      </c>
    </row>
    <row r="23" spans="16:17" ht="18">
      <c r="P23" s="22" t="s">
        <v>32</v>
      </c>
      <c r="Q23" s="21">
        <f t="shared" si="11"/>
        <v>1.0125219753669731E-5</v>
      </c>
    </row>
  </sheetData>
  <pageMargins left="0.7" right="0.7" top="0.75" bottom="0.75" header="0.3" footer="0.3"/>
  <pageSetup paperSize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zoomScale="85" zoomScaleNormal="85" workbookViewId="0">
      <selection activeCell="K10" sqref="K10"/>
    </sheetView>
  </sheetViews>
  <sheetFormatPr defaultRowHeight="15"/>
  <cols>
    <col min="8" max="8" width="9.7109375" bestFit="1" customWidth="1"/>
    <col min="11" max="11" width="19.7109375" bestFit="1" customWidth="1"/>
    <col min="14" max="17" width="9.1406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8</v>
      </c>
      <c r="G1" s="1" t="s">
        <v>9</v>
      </c>
      <c r="H1" s="1" t="s">
        <v>13</v>
      </c>
      <c r="J1" s="6" t="s">
        <v>14</v>
      </c>
      <c r="K1" s="16">
        <f>(K3-K2)/K4</f>
        <v>7.0000000000000007E-2</v>
      </c>
    </row>
    <row r="2" spans="1:11">
      <c r="A2" s="2">
        <v>0</v>
      </c>
      <c r="B2" s="3">
        <f>K2</f>
        <v>0.7</v>
      </c>
      <c r="C2" s="5">
        <f>B2+($K$1/2)</f>
        <v>0.73499999999999999</v>
      </c>
      <c r="D2" s="5">
        <f>(SQRT(0.6 * B2 + 1.5))/(2*B2+ SQRT(B2*B2 + 3))</f>
        <v>0.42398264411830544</v>
      </c>
      <c r="E2" s="2">
        <v>1</v>
      </c>
      <c r="F2" s="4">
        <v>0.33333333333333331</v>
      </c>
      <c r="G2" s="9">
        <f>E2*D2</f>
        <v>0.42398264411830544</v>
      </c>
      <c r="H2" s="9">
        <f>D2*F2</f>
        <v>0.14132754803943515</v>
      </c>
      <c r="J2" s="6" t="s">
        <v>15</v>
      </c>
      <c r="K2" s="16">
        <v>0.7</v>
      </c>
    </row>
    <row r="3" spans="1:11" ht="19.5" customHeight="1">
      <c r="A3" s="2">
        <v>1</v>
      </c>
      <c r="B3" s="3">
        <f>B2+$K$1</f>
        <v>0.77</v>
      </c>
      <c r="C3" s="5">
        <f t="shared" ref="C3:C22" si="0">B3+($K$1/2)</f>
        <v>0.80500000000000005</v>
      </c>
      <c r="D3" s="5">
        <f t="shared" ref="D3:D22" si="1">(SQRT(0.6 * B3 + 1.5))/(2*B3+ SQRT(B3*B3 + 3))</f>
        <v>0.40771831799216535</v>
      </c>
      <c r="E3" s="2">
        <v>1</v>
      </c>
      <c r="F3" s="4">
        <v>1.3333333333333333</v>
      </c>
      <c r="G3" s="9">
        <f t="shared" ref="G3:G22" si="2">E3*D3</f>
        <v>0.40771831799216535</v>
      </c>
      <c r="H3" s="9">
        <f t="shared" ref="H3:H22" si="3">D3*F3</f>
        <v>0.5436244239895538</v>
      </c>
      <c r="J3" s="6" t="s">
        <v>16</v>
      </c>
      <c r="K3" s="16">
        <v>2.1</v>
      </c>
    </row>
    <row r="4" spans="1:11">
      <c r="A4" s="2">
        <v>2</v>
      </c>
      <c r="B4" s="3">
        <f t="shared" ref="B4:B22" si="4">B3+$K$1</f>
        <v>0.84000000000000008</v>
      </c>
      <c r="C4" s="5">
        <f t="shared" si="0"/>
        <v>0.87500000000000011</v>
      </c>
      <c r="D4" s="5">
        <f t="shared" si="1"/>
        <v>0.39268505393679876</v>
      </c>
      <c r="E4" s="2">
        <v>1</v>
      </c>
      <c r="F4" s="4">
        <v>0.66666666666666663</v>
      </c>
      <c r="G4" s="9">
        <f t="shared" si="2"/>
        <v>0.39268505393679876</v>
      </c>
      <c r="H4" s="9">
        <f t="shared" si="3"/>
        <v>0.26179003595786582</v>
      </c>
      <c r="J4" s="6" t="s">
        <v>17</v>
      </c>
      <c r="K4" s="16">
        <v>20</v>
      </c>
    </row>
    <row r="5" spans="1:11">
      <c r="A5" s="2">
        <v>3</v>
      </c>
      <c r="B5" s="3">
        <f t="shared" si="4"/>
        <v>0.91000000000000014</v>
      </c>
      <c r="C5" s="5">
        <f t="shared" si="0"/>
        <v>0.94500000000000017</v>
      </c>
      <c r="D5" s="5">
        <f t="shared" si="1"/>
        <v>0.37875399312690261</v>
      </c>
      <c r="E5" s="2">
        <v>1</v>
      </c>
      <c r="F5" s="4">
        <v>1.3333333333333333</v>
      </c>
      <c r="G5" s="9">
        <f t="shared" si="2"/>
        <v>0.37875399312690261</v>
      </c>
      <c r="H5" s="9">
        <f t="shared" si="3"/>
        <v>0.50500532416920341</v>
      </c>
    </row>
    <row r="6" spans="1:11">
      <c r="A6" s="2">
        <v>4</v>
      </c>
      <c r="B6" s="3">
        <f t="shared" si="4"/>
        <v>0.9800000000000002</v>
      </c>
      <c r="C6" s="5">
        <f t="shared" si="0"/>
        <v>1.0150000000000001</v>
      </c>
      <c r="D6" s="5">
        <f t="shared" si="1"/>
        <v>0.36581361419917913</v>
      </c>
      <c r="E6" s="2">
        <v>1</v>
      </c>
      <c r="F6" s="4">
        <v>0.66666666666666663</v>
      </c>
      <c r="G6" s="9">
        <f t="shared" si="2"/>
        <v>0.36581361419917913</v>
      </c>
      <c r="H6" s="9">
        <f t="shared" si="3"/>
        <v>0.24387574279945273</v>
      </c>
    </row>
    <row r="7" spans="1:11">
      <c r="A7" s="2">
        <v>5</v>
      </c>
      <c r="B7" s="3">
        <f t="shared" si="4"/>
        <v>1.0500000000000003</v>
      </c>
      <c r="C7" s="5">
        <f t="shared" si="0"/>
        <v>1.0850000000000002</v>
      </c>
      <c r="D7" s="5">
        <f t="shared" si="1"/>
        <v>0.35376683386881413</v>
      </c>
      <c r="E7" s="2">
        <v>1</v>
      </c>
      <c r="F7" s="4">
        <v>1.3333333333333333</v>
      </c>
      <c r="G7" s="9">
        <f t="shared" si="2"/>
        <v>0.35376683386881413</v>
      </c>
      <c r="H7" s="9">
        <f t="shared" si="3"/>
        <v>0.47168911182508549</v>
      </c>
    </row>
    <row r="8" spans="1:11" ht="19.5" customHeight="1">
      <c r="A8" s="2">
        <v>6</v>
      </c>
      <c r="B8" s="3">
        <f t="shared" si="4"/>
        <v>1.1200000000000003</v>
      </c>
      <c r="C8" s="5">
        <f t="shared" si="0"/>
        <v>1.1550000000000002</v>
      </c>
      <c r="D8" s="5">
        <f t="shared" si="1"/>
        <v>0.34252868697246114</v>
      </c>
      <c r="E8" s="2">
        <v>1</v>
      </c>
      <c r="F8" s="4">
        <v>0.66666666666666663</v>
      </c>
      <c r="G8" s="9">
        <f t="shared" si="2"/>
        <v>0.34252868697246114</v>
      </c>
      <c r="H8" s="9">
        <f t="shared" si="3"/>
        <v>0.22835245798164075</v>
      </c>
    </row>
    <row r="9" spans="1:11">
      <c r="A9" s="2">
        <v>7</v>
      </c>
      <c r="B9" s="3">
        <f t="shared" si="4"/>
        <v>1.1900000000000004</v>
      </c>
      <c r="C9" s="5">
        <f t="shared" si="0"/>
        <v>1.2250000000000003</v>
      </c>
      <c r="D9" s="5">
        <f t="shared" si="1"/>
        <v>0.33202445374219924</v>
      </c>
      <c r="E9" s="2">
        <v>1</v>
      </c>
      <c r="F9" s="4">
        <v>1.3333333333333333</v>
      </c>
      <c r="G9" s="9">
        <f t="shared" si="2"/>
        <v>0.33202445374219924</v>
      </c>
      <c r="H9" s="9">
        <f t="shared" si="3"/>
        <v>0.44269927165626566</v>
      </c>
    </row>
    <row r="10" spans="1:11">
      <c r="A10" s="2">
        <v>8</v>
      </c>
      <c r="B10" s="3">
        <f t="shared" si="4"/>
        <v>1.2600000000000005</v>
      </c>
      <c r="C10" s="5">
        <f t="shared" si="0"/>
        <v>1.2950000000000004</v>
      </c>
      <c r="D10" s="5">
        <f t="shared" si="1"/>
        <v>0.32218813527894991</v>
      </c>
      <c r="E10" s="2">
        <v>1</v>
      </c>
      <c r="F10" s="4">
        <v>0.66666666666666663</v>
      </c>
      <c r="G10" s="9">
        <f t="shared" si="2"/>
        <v>0.32218813527894991</v>
      </c>
      <c r="H10" s="9">
        <f t="shared" si="3"/>
        <v>0.21479209018596659</v>
      </c>
      <c r="J10" s="7" t="s">
        <v>18</v>
      </c>
      <c r="K10" s="18">
        <v>0.43851000000000001</v>
      </c>
    </row>
    <row r="11" spans="1:11">
      <c r="A11" s="2">
        <v>9</v>
      </c>
      <c r="B11" s="3">
        <f t="shared" si="4"/>
        <v>1.3300000000000005</v>
      </c>
      <c r="C11" s="5">
        <f t="shared" si="0"/>
        <v>1.3650000000000004</v>
      </c>
      <c r="D11" s="5">
        <f t="shared" si="1"/>
        <v>0.31296120240519137</v>
      </c>
      <c r="E11" s="2">
        <v>1</v>
      </c>
      <c r="F11" s="4">
        <v>1.3333333333333333</v>
      </c>
      <c r="G11" s="9">
        <f t="shared" si="2"/>
        <v>0.31296120240519137</v>
      </c>
      <c r="H11" s="9">
        <f t="shared" si="3"/>
        <v>0.41728160320692181</v>
      </c>
    </row>
    <row r="12" spans="1:11">
      <c r="A12" s="2">
        <v>10</v>
      </c>
      <c r="B12" s="3">
        <f t="shared" si="4"/>
        <v>1.4000000000000006</v>
      </c>
      <c r="C12" s="5">
        <f t="shared" si="0"/>
        <v>1.4350000000000005</v>
      </c>
      <c r="D12" s="5">
        <f t="shared" si="1"/>
        <v>0.30429156091636306</v>
      </c>
      <c r="E12" s="2">
        <v>1</v>
      </c>
      <c r="F12" s="4">
        <v>0.66666666666666663</v>
      </c>
      <c r="G12" s="9">
        <f t="shared" si="2"/>
        <v>0.30429156091636306</v>
      </c>
      <c r="H12" s="9">
        <f t="shared" si="3"/>
        <v>0.2028610406109087</v>
      </c>
    </row>
    <row r="13" spans="1:11">
      <c r="A13" s="2">
        <v>11</v>
      </c>
      <c r="B13" s="3">
        <f t="shared" si="4"/>
        <v>1.4700000000000006</v>
      </c>
      <c r="C13" s="5">
        <f t="shared" si="0"/>
        <v>1.5050000000000006</v>
      </c>
      <c r="D13" s="5">
        <f t="shared" si="1"/>
        <v>0.29613268950436988</v>
      </c>
      <c r="E13" s="2">
        <v>1</v>
      </c>
      <c r="F13" s="4">
        <v>1.3333333333333333</v>
      </c>
      <c r="G13" s="9">
        <f t="shared" si="2"/>
        <v>0.29613268950436988</v>
      </c>
      <c r="H13" s="9">
        <f t="shared" si="3"/>
        <v>0.39484358600582647</v>
      </c>
      <c r="J13" s="12" t="s">
        <v>25</v>
      </c>
      <c r="K13" s="28">
        <f>ABS(G26-K10)</f>
        <v>6.5130252167923119E-3</v>
      </c>
    </row>
    <row r="14" spans="1:11">
      <c r="A14" s="2">
        <v>12</v>
      </c>
      <c r="B14" s="3">
        <f t="shared" si="4"/>
        <v>1.5400000000000007</v>
      </c>
      <c r="C14" s="5">
        <f t="shared" si="0"/>
        <v>1.5750000000000006</v>
      </c>
      <c r="D14" s="5">
        <f t="shared" si="1"/>
        <v>0.28844291654818127</v>
      </c>
      <c r="E14" s="2">
        <v>1</v>
      </c>
      <c r="F14" s="4">
        <v>0.66666666666666663</v>
      </c>
      <c r="G14" s="9">
        <f t="shared" si="2"/>
        <v>0.28844291654818127</v>
      </c>
      <c r="H14" s="9">
        <f t="shared" si="3"/>
        <v>0.19229527769878751</v>
      </c>
      <c r="J14" s="12" t="s">
        <v>29</v>
      </c>
      <c r="K14" s="28">
        <f>ABS(G27-K11)</f>
        <v>0</v>
      </c>
    </row>
    <row r="15" spans="1:11">
      <c r="A15" s="2">
        <v>13</v>
      </c>
      <c r="B15" s="3">
        <f t="shared" si="4"/>
        <v>1.6100000000000008</v>
      </c>
      <c r="C15" s="5">
        <f t="shared" si="0"/>
        <v>1.6450000000000007</v>
      </c>
      <c r="D15" s="5">
        <f t="shared" si="1"/>
        <v>0.28118480944553487</v>
      </c>
      <c r="E15" s="2">
        <v>1</v>
      </c>
      <c r="F15" s="4">
        <v>1.3333333333333333</v>
      </c>
      <c r="G15" s="9">
        <f t="shared" si="2"/>
        <v>0.28118480944553487</v>
      </c>
      <c r="H15" s="9">
        <f t="shared" si="3"/>
        <v>0.37491307926071316</v>
      </c>
    </row>
    <row r="16" spans="1:11" ht="18">
      <c r="A16" s="2">
        <v>14</v>
      </c>
      <c r="B16" s="3">
        <f t="shared" si="4"/>
        <v>1.6800000000000008</v>
      </c>
      <c r="C16" s="5">
        <f t="shared" si="0"/>
        <v>1.7150000000000007</v>
      </c>
      <c r="D16" s="5">
        <f t="shared" si="1"/>
        <v>0.27432465583489868</v>
      </c>
      <c r="E16" s="2">
        <v>1</v>
      </c>
      <c r="F16" s="4">
        <v>0.66666666666666663</v>
      </c>
      <c r="G16" s="9">
        <f t="shared" si="2"/>
        <v>0.27432465583489868</v>
      </c>
      <c r="H16" s="9">
        <f t="shared" si="3"/>
        <v>0.18288310388993245</v>
      </c>
      <c r="J16" s="20" t="s">
        <v>30</v>
      </c>
      <c r="K16" s="29">
        <f>K13/$K$10</f>
        <v>1.4852626432218904E-2</v>
      </c>
    </row>
    <row r="17" spans="1:11" ht="18">
      <c r="A17" s="2">
        <v>15</v>
      </c>
      <c r="B17" s="3">
        <f t="shared" si="4"/>
        <v>1.7500000000000009</v>
      </c>
      <c r="C17" s="5">
        <f t="shared" si="0"/>
        <v>1.7850000000000008</v>
      </c>
      <c r="D17" s="5">
        <f t="shared" si="1"/>
        <v>0.26783202039082427</v>
      </c>
      <c r="E17" s="2">
        <v>1</v>
      </c>
      <c r="F17" s="4">
        <v>1.3333333333333333</v>
      </c>
      <c r="G17" s="9">
        <f t="shared" si="2"/>
        <v>0.26783202039082427</v>
      </c>
      <c r="H17" s="9">
        <f t="shared" si="3"/>
        <v>0.35710936052109898</v>
      </c>
      <c r="J17" s="22" t="s">
        <v>32</v>
      </c>
      <c r="K17" s="29">
        <f>K14/$K$10</f>
        <v>0</v>
      </c>
    </row>
    <row r="18" spans="1:11">
      <c r="A18" s="2">
        <v>16</v>
      </c>
      <c r="B18" s="3">
        <f t="shared" si="4"/>
        <v>1.820000000000001</v>
      </c>
      <c r="C18" s="5">
        <f t="shared" si="0"/>
        <v>1.8550000000000009</v>
      </c>
      <c r="D18" s="5">
        <f t="shared" si="1"/>
        <v>0.26167936420657617</v>
      </c>
      <c r="E18" s="2">
        <v>1</v>
      </c>
      <c r="F18" s="4">
        <v>0.66666666666666663</v>
      </c>
      <c r="G18" s="9">
        <f t="shared" si="2"/>
        <v>0.26167936420657617</v>
      </c>
      <c r="H18" s="9">
        <f t="shared" si="3"/>
        <v>0.17445290947105077</v>
      </c>
    </row>
    <row r="19" spans="1:11">
      <c r="A19" s="2">
        <v>17</v>
      </c>
      <c r="B19" s="3">
        <f t="shared" si="4"/>
        <v>1.890000000000001</v>
      </c>
      <c r="C19" s="5">
        <f t="shared" si="0"/>
        <v>1.9250000000000009</v>
      </c>
      <c r="D19" s="5">
        <f t="shared" si="1"/>
        <v>0.25584171635395397</v>
      </c>
      <c r="E19" s="2">
        <v>1</v>
      </c>
      <c r="F19" s="4">
        <v>1.3333333333333333</v>
      </c>
      <c r="G19" s="9">
        <f t="shared" si="2"/>
        <v>0.25584171635395397</v>
      </c>
      <c r="H19" s="9">
        <f t="shared" si="3"/>
        <v>0.3411222884719386</v>
      </c>
    </row>
    <row r="20" spans="1:11">
      <c r="A20" s="2">
        <v>18</v>
      </c>
      <c r="B20" s="3">
        <f t="shared" si="4"/>
        <v>1.9600000000000011</v>
      </c>
      <c r="C20" s="5">
        <f t="shared" si="0"/>
        <v>1.995000000000001</v>
      </c>
      <c r="D20" s="5">
        <f t="shared" si="1"/>
        <v>0.2502963892153714</v>
      </c>
      <c r="E20" s="2">
        <v>1</v>
      </c>
      <c r="F20" s="4">
        <v>0.66666666666666663</v>
      </c>
      <c r="G20" s="9">
        <f t="shared" si="2"/>
        <v>0.2502963892153714</v>
      </c>
      <c r="H20" s="9">
        <f t="shared" si="3"/>
        <v>0.16686425947691425</v>
      </c>
    </row>
    <row r="21" spans="1:11">
      <c r="A21" s="2">
        <v>19</v>
      </c>
      <c r="B21" s="3">
        <f t="shared" si="4"/>
        <v>2.0300000000000011</v>
      </c>
      <c r="C21" s="5">
        <f t="shared" si="0"/>
        <v>2.0650000000000013</v>
      </c>
      <c r="D21" s="5">
        <f t="shared" si="1"/>
        <v>0.24502273075427605</v>
      </c>
      <c r="E21" s="2">
        <v>1</v>
      </c>
      <c r="F21" s="4">
        <v>1.3333333333333333</v>
      </c>
      <c r="G21" s="9">
        <f t="shared" si="2"/>
        <v>0.24502273075427605</v>
      </c>
      <c r="H21" s="9">
        <f t="shared" si="3"/>
        <v>0.32669697433903472</v>
      </c>
    </row>
    <row r="22" spans="1:11">
      <c r="A22" s="2">
        <v>20</v>
      </c>
      <c r="B22" s="3">
        <f t="shared" si="4"/>
        <v>2.100000000000001</v>
      </c>
      <c r="C22" s="5">
        <f t="shared" si="0"/>
        <v>2.1350000000000011</v>
      </c>
      <c r="D22" s="5">
        <f t="shared" si="1"/>
        <v>0.2400019081290789</v>
      </c>
      <c r="E22" s="24">
        <v>0</v>
      </c>
      <c r="F22" s="4">
        <v>0.33333333333333331</v>
      </c>
      <c r="G22" s="23">
        <f t="shared" si="2"/>
        <v>0</v>
      </c>
      <c r="H22" s="9">
        <f t="shared" si="3"/>
        <v>8.0000636043026291E-2</v>
      </c>
    </row>
    <row r="23" spans="1:11">
      <c r="F23" s="25" t="s">
        <v>35</v>
      </c>
      <c r="G23" s="27">
        <f>SUM(G2:G22)</f>
        <v>6.3574717888113179</v>
      </c>
      <c r="H23" s="27">
        <f>SUM(H2:H22)</f>
        <v>6.2644801256006222</v>
      </c>
    </row>
    <row r="25" spans="1:11">
      <c r="G25" s="26" t="s">
        <v>20</v>
      </c>
      <c r="H25" s="26" t="s">
        <v>24</v>
      </c>
    </row>
    <row r="26" spans="1:11">
      <c r="G26" s="26">
        <f>G23*$K$1</f>
        <v>0.44502302521679232</v>
      </c>
      <c r="H26" s="30">
        <f>H23*$K$1</f>
        <v>0.4385136087920436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10</vt:lpstr>
      <vt:lpstr>20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0307</dc:creator>
  <cp:lastModifiedBy>0307</cp:lastModifiedBy>
  <dcterms:created xsi:type="dcterms:W3CDTF">2025-11-20T05:37:19Z</dcterms:created>
  <dcterms:modified xsi:type="dcterms:W3CDTF">2025-11-20T07:04:44Z</dcterms:modified>
</cp:coreProperties>
</file>